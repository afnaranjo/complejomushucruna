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898c6f4387403e" /></Relationships>
</file>

<file path=xl/workbook.xml><?xml version="1.0" encoding="utf-8"?>
<x:workbook xmlns:x="http://schemas.openxmlformats.org/spreadsheetml/2006/main">
  <x:sheets>
    <x:sheet xmlns:r="http://schemas.openxmlformats.org/officeDocument/2006/relationships" name="00_Resumen" sheetId="1" r:id="R9da18a1af1c84427"/>
    <x:sheet xmlns:r="http://schemas.openxmlformats.org/officeDocument/2006/relationships" name="01_Personas_2025" sheetId="2" r:id="R6636d3c44c224c7e"/>
    <x:sheet xmlns:r="http://schemas.openxmlformats.org/officeDocument/2006/relationships" name="02_Paquetes" sheetId="3" r:id="R282876d474d44084"/>
    <x:sheet xmlns:r="http://schemas.openxmlformats.org/officeDocument/2006/relationships" name="03_Inventario_2025" sheetId="4" r:id="Rf7c6d65d230e4f6d"/>
    <x:sheet xmlns:r="http://schemas.openxmlformats.org/officeDocument/2006/relationships" name="04_Plan_2026" sheetId="5" r:id="Rd9594835da944b9b"/>
    <x:sheet xmlns:r="http://schemas.openxmlformats.org/officeDocument/2006/relationships" name="05_RACI_2026" sheetId="6" r:id="R7b780fa28b9a4ced"/>
    <x:sheet xmlns:r="http://schemas.openxmlformats.org/officeDocument/2006/relationships" name="06_Catalogos" sheetId="7" r:id="Re1a0e999dc56485d"/>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yyyy-mm-dd hh:mm"/>
    <x:numFmt numFmtId="201" formatCode="0.00"/>
    <x:numFmt numFmtId="202" formatCode="yyyy-mm-dd"/>
    <x:numFmt numFmtId="203" formatCode="0"/>
    <x:numFmt numFmtId="204" formatCode="0.0%"/>
    <x:numFmt numFmtId="205" formatCode="0.00 &quot;días&quot;"/>
  </x:numFmts>
  <x:fonts count="13">
    <x:font>
      <x:sz val="11"/>
      <x:name val="Carlito"/>
    </x:font>
    <x:font>
      <x:b/>
      <x:sz val="10"/>
      <x:color rgb="FFFFFFFF"/>
      <x:name val="Carlito"/>
    </x:font>
    <x:font>
      <x:sz val="9"/>
      <x:color rgb="FF1F2430"/>
      <x:name val="Carlito"/>
    </x:font>
    <x:font>
      <x:b/>
      <x:sz val="20"/>
      <x:color rgb="FFFFFFFF"/>
      <x:name val="Carlito"/>
    </x:font>
    <x:font>
      <x:i/>
      <x:sz val="10"/>
      <x:color rgb="FF1F2430"/>
      <x:name val="Carlito"/>
    </x:font>
    <x:font>
      <x:b/>
      <x:i/>
      <x:sz val="10"/>
      <x:color rgb="FF1F2430"/>
      <x:name val="Carlito"/>
    </x:font>
    <x:font>
      <x:b/>
      <x:sz val="22"/>
      <x:color rgb="FF4B173B"/>
      <x:name val="Carlito"/>
    </x:font>
    <x:font>
      <x:b/>
      <x:sz val="10"/>
      <x:color rgb="FF1F2430"/>
      <x:name val="Carlito"/>
    </x:font>
    <x:font>
      <x:b/>
      <x:sz val="11"/>
      <x:color rgb="FFFFFFFF"/>
      <x:name val="Carlito"/>
    </x:font>
    <x:font>
      <x:sz val="11"/>
      <x:color rgb="FF1F2430"/>
      <x:name val="Carlito"/>
    </x:font>
    <x:font>
      <x:b/>
      <x:sz val="12"/>
      <x:color rgb="FF1F2430"/>
      <x:name val="Carlito"/>
    </x:font>
    <x:font>
      <x:b/>
      <x:sz val="11"/>
      <x:color rgb="FF1F2430"/>
      <x:name val="Carlito"/>
    </x:font>
    <x:font>
      <x:sz val="10"/>
      <x:color rgb="FF1F2430"/>
      <x:name val="Carlito"/>
    </x:font>
  </x:fonts>
  <x:fills count="12">
    <x:fill>
      <x:patternFill patternType="none"/>
    </x:fill>
    <x:fill>
      <x:patternFill patternType="gray125"/>
    </x:fill>
    <x:fill>
      <x:patternFill patternType="solid">
        <x:fgColor rgb="FFC33C8C"/>
      </x:patternFill>
    </x:fill>
    <x:fill>
      <x:patternFill patternType="solid">
        <x:fgColor rgb="FF23B8D1"/>
      </x:patternFill>
    </x:fill>
    <x:fill>
      <x:patternFill patternType="solid">
        <x:fgColor rgb="FF4B173B"/>
      </x:patternFill>
    </x:fill>
    <x:fill>
      <x:patternFill patternType="solid">
        <x:fgColor rgb="FFF28C28"/>
      </x:patternFill>
    </x:fill>
    <x:fill>
      <x:patternFill patternType="solid">
        <x:fgColor rgb="FFF4C95D"/>
      </x:patternFill>
    </x:fill>
    <x:fill>
      <x:patternFill patternType="solid">
        <x:fgColor rgb="FFFFF7E8"/>
      </x:patternFill>
    </x:fill>
    <x:fill>
      <x:patternFill patternType="solid">
        <x:fgColor rgb="FFFFFFFF"/>
      </x:patternFill>
    </x:fill>
    <x:fill>
      <x:patternFill patternType="solid">
        <x:fgColor rgb="FFFCE7F3"/>
      </x:patternFill>
    </x:fill>
    <x:fill>
      <x:patternFill patternType="solid">
        <x:fgColor rgb="FFE7F7FA"/>
      </x:patternFill>
    </x:fill>
    <x:fill>
      <x:patternFill patternType="solid">
        <x:fgColor rgb="FFFFF4CC"/>
      </x:patternFill>
    </x:fill>
  </x:fills>
  <x:borders count="36">
    <x:border/>
    <x:border>
      <x:left style="thin">
        <x:color rgb="FFD8D5D2"/>
      </x:left>
      <x:right style="thin">
        <x:color rgb="FFD8D5D2"/>
      </x:right>
      <x:top style="thin">
        <x:color rgb="FFD8D5D2"/>
      </x:top>
      <x:bottom style="thin">
        <x:color rgb="FFD8D5D2"/>
      </x:bottom>
    </x:border>
    <x:border>
      <x:left style="medium">
        <x:color rgb="FFC33C8C"/>
      </x:left>
      <x:top style="medium">
        <x:color rgb="FFC33C8C"/>
      </x:top>
    </x:border>
    <x:border>
      <x:top style="medium">
        <x:color rgb="FFC33C8C"/>
      </x:top>
    </x:border>
    <x:border>
      <x:right style="medium">
        <x:color rgb="FFC33C8C"/>
      </x:right>
      <x:top style="medium">
        <x:color rgb="FFC33C8C"/>
      </x:top>
    </x:border>
    <x:border>
      <x:left style="medium">
        <x:color rgb="FFC33C8C"/>
      </x:left>
      <x:bottom style="medium">
        <x:color rgb="FFC33C8C"/>
      </x:bottom>
    </x:border>
    <x:border>
      <x:bottom style="medium">
        <x:color rgb="FFC33C8C"/>
      </x:bottom>
    </x:border>
    <x:border>
      <x:right style="medium">
        <x:color rgb="FFC33C8C"/>
      </x:right>
      <x:bottom style="medium">
        <x:color rgb="FFC33C8C"/>
      </x:bottom>
    </x:border>
    <x:border>
      <x:left style="medium">
        <x:color rgb="FFF28C28"/>
      </x:left>
      <x:top style="medium">
        <x:color rgb="FFF28C28"/>
      </x:top>
    </x:border>
    <x:border>
      <x:top style="medium">
        <x:color rgb="FFF28C28"/>
      </x:top>
    </x:border>
    <x:border>
      <x:right style="medium">
        <x:color rgb="FFF28C28"/>
      </x:right>
      <x:top style="medium">
        <x:color rgb="FFF28C28"/>
      </x:top>
    </x:border>
    <x:border>
      <x:left style="medium">
        <x:color rgb="FFF28C28"/>
      </x:left>
      <x:bottom style="medium">
        <x:color rgb="FFF28C28"/>
      </x:bottom>
    </x:border>
    <x:border>
      <x:bottom style="medium">
        <x:color rgb="FFF28C28"/>
      </x:bottom>
    </x:border>
    <x:border>
      <x:right style="medium">
        <x:color rgb="FFF28C28"/>
      </x:right>
      <x:bottom style="medium">
        <x:color rgb="FFF28C28"/>
      </x:bottom>
    </x:border>
    <x:border>
      <x:left style="medium">
        <x:color rgb="FF23B8D1"/>
      </x:left>
      <x:top style="medium">
        <x:color rgb="FF23B8D1"/>
      </x:top>
    </x:border>
    <x:border>
      <x:top style="medium">
        <x:color rgb="FF23B8D1"/>
      </x:top>
    </x:border>
    <x:border>
      <x:right style="medium">
        <x:color rgb="FF23B8D1"/>
      </x:right>
      <x:top style="medium">
        <x:color rgb="FF23B8D1"/>
      </x:top>
    </x:border>
    <x:border>
      <x:left style="medium">
        <x:color rgb="FF23B8D1"/>
      </x:left>
      <x:bottom style="medium">
        <x:color rgb="FF23B8D1"/>
      </x:bottom>
    </x:border>
    <x:border>
      <x:bottom style="medium">
        <x:color rgb="FF23B8D1"/>
      </x:bottom>
    </x:border>
    <x:border>
      <x:right style="medium">
        <x:color rgb="FF23B8D1"/>
      </x:right>
      <x:bottom style="medium">
        <x:color rgb="FF23B8D1"/>
      </x:bottom>
    </x:border>
    <x:border>
      <x:left style="medium">
        <x:color rgb="FFF4C95D"/>
      </x:left>
      <x:top style="medium">
        <x:color rgb="FFF4C95D"/>
      </x:top>
    </x:border>
    <x:border>
      <x:top style="medium">
        <x:color rgb="FFF4C95D"/>
      </x:top>
    </x:border>
    <x:border>
      <x:right style="medium">
        <x:color rgb="FFF4C95D"/>
      </x:right>
      <x:top style="medium">
        <x:color rgb="FFF4C95D"/>
      </x:top>
    </x:border>
    <x:border>
      <x:left style="medium">
        <x:color rgb="FFF4C95D"/>
      </x:left>
      <x:bottom style="medium">
        <x:color rgb="FFF4C95D"/>
      </x:bottom>
    </x:border>
    <x:border>
      <x:bottom style="medium">
        <x:color rgb="FFF4C95D"/>
      </x:bottom>
    </x:border>
    <x:border>
      <x:right style="medium">
        <x:color rgb="FFF4C95D"/>
      </x:right>
      <x:bottom style="medium">
        <x:color rgb="FFF4C95D"/>
      </x:bottom>
    </x:border>
    <x:border>
      <x:left style="thin">
        <x:color rgb="FFD8D5D2"/>
      </x:left>
      <x:top style="thin">
        <x:color rgb="FFD8D5D2"/>
      </x:top>
    </x:border>
    <x:border>
      <x:top style="thin">
        <x:color rgb="FFD8D5D2"/>
      </x:top>
    </x:border>
    <x:border>
      <x:right style="thin">
        <x:color rgb="FFD8D5D2"/>
      </x:right>
      <x:top style="thin">
        <x:color rgb="FFD8D5D2"/>
      </x:top>
    </x:border>
    <x:border>
      <x:left style="thin">
        <x:color rgb="FFD8D5D2"/>
      </x:left>
    </x:border>
    <x:border>
      <x:right style="thin">
        <x:color rgb="FFD8D5D2"/>
      </x:right>
    </x:border>
    <x:border>
      <x:left style="thin">
        <x:color rgb="FFD8D5D2"/>
      </x:left>
      <x:bottom style="thin">
        <x:color rgb="FFD8D5D2"/>
      </x:bottom>
    </x:border>
    <x:border>
      <x:bottom style="thin">
        <x:color rgb="FFD8D5D2"/>
      </x:bottom>
    </x:border>
    <x:border>
      <x:right style="thin">
        <x:color rgb="FFD8D5D2"/>
      </x:right>
      <x:bottom style="thin">
        <x:color rgb="FFD8D5D2"/>
      </x:bottom>
    </x:border>
    <x:border>
      <x:left style="medium">
        <x:color rgb="FFF28C28"/>
      </x:left>
    </x:border>
    <x:border>
      <x:right style="medium">
        <x:color rgb="FFF28C28"/>
      </x:right>
    </x:border>
  </x:borders>
  <x:cellStyleXfs count="1">
    <x:xf numFmtId="0" fontId="0" fillId="0" borderId="0"/>
  </x:cellStyleXfs>
  <x:cellXfs count="2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200" fontId="2" fillId="0" borderId="1" xfId="0" applyNumberFormat="1" applyFont="1" applyFill="1" applyBorder="1" applyAlignment="1">
      <x:alignment vertical="top" wrapText="1"/>
    </x:xf>
    <x:xf numFmtId="201" fontId="2" fillId="0" borderId="1" xfId="0" applyNumberFormat="1" applyFont="1" applyFill="1" applyBorder="1" applyAlignment="1">
      <x:alignment vertical="top" wrapText="1"/>
    </x:xf>
    <x:xf numFmtId="202" fontId="2" fillId="0" borderId="1" xfId="0" applyNumberFormat="1" applyFont="1" applyFill="1" applyBorder="1" applyAlignment="1">
      <x:alignment vertical="top" wrapText="1"/>
    </x:xf>
    <x:xf numFmtId="203" fontId="2" fillId="0"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204" fontId="2" fillId="0" borderId="1"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horizontal="center" wrapText="1"/>
    </x:xf>
    <x:xf numFmtId="0" fontId="1" fillId="6" borderId="1" xfId="0" applyNumberFormat="1" applyFont="1" applyFill="1" applyBorder="1" applyAlignment="1">
      <x:alignment horizontal="center" vertical="center" wrapText="1"/>
    </x:xf>
    <x:xf numFmtId="0" fontId="3" fillId="4" borderId="0" xfId="0" applyNumberFormat="1" applyFont="1" applyFill="1" applyBorder="1"/>
    <x:xf numFmtId="0" fontId="3" fillId="4"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2" xfId="0" applyNumberFormat="1" applyFont="1" applyFill="1" applyBorder="1"/>
    <x:xf numFmtId="0" fontId="6" fillId="8" borderId="3" xfId="0" applyNumberFormat="1" applyFont="1" applyFill="1" applyBorder="1"/>
    <x:xf numFmtId="0" fontId="6" fillId="8" borderId="4" xfId="0" applyNumberFormat="1" applyFont="1" applyFill="1" applyBorder="1"/>
    <x:xf numFmtId="0" fontId="6" fillId="8" borderId="5" xfId="0" applyNumberFormat="1" applyFont="1" applyFill="1" applyBorder="1"/>
    <x:xf numFmtId="0" fontId="6" fillId="8" borderId="6" xfId="0" applyNumberFormat="1" applyFont="1" applyFill="1" applyBorder="1"/>
    <x:xf numFmtId="0" fontId="6" fillId="8" borderId="7" xfId="0" applyNumberFormat="1" applyFont="1" applyFill="1" applyBorder="1"/>
    <x:xf numFmtId="0" fontId="6" fillId="8" borderId="2" xfId="0" applyNumberFormat="1" applyFont="1" applyFill="1" applyBorder="1" applyAlignment="1">
      <x:alignment horizontal="center"/>
    </x:xf>
    <x:xf numFmtId="0" fontId="6" fillId="8" borderId="3" xfId="0" applyNumberFormat="1" applyFont="1" applyFill="1" applyBorder="1" applyAlignment="1">
      <x:alignment horizontal="center"/>
    </x:xf>
    <x:xf numFmtId="0" fontId="6" fillId="8" borderId="4" xfId="0" applyNumberFormat="1" applyFont="1" applyFill="1" applyBorder="1" applyAlignment="1">
      <x:alignment horizontal="center"/>
    </x:xf>
    <x:xf numFmtId="0" fontId="6" fillId="8" borderId="5" xfId="0" applyNumberFormat="1" applyFont="1" applyFill="1" applyBorder="1" applyAlignment="1">
      <x:alignment horizontal="center"/>
    </x:xf>
    <x:xf numFmtId="0" fontId="6" fillId="8" borderId="6" xfId="0" applyNumberFormat="1" applyFont="1" applyFill="1" applyBorder="1" applyAlignment="1">
      <x:alignment horizontal="center"/>
    </x:xf>
    <x:xf numFmtId="0" fontId="6" fillId="8" borderId="7" xfId="0" applyNumberFormat="1" applyFont="1" applyFill="1" applyBorder="1" applyAlignment="1">
      <x:alignment horizontal="center"/>
    </x:xf>
    <x:xf numFmtId="0" fontId="6" fillId="8" borderId="2" xfId="0" applyNumberFormat="1" applyFont="1" applyFill="1" applyBorder="1" applyAlignment="1">
      <x:alignment horizontal="center" vertical="center"/>
    </x:xf>
    <x:xf numFmtId="0" fontId="6" fillId="8" borderId="3" xfId="0" applyNumberFormat="1" applyFont="1" applyFill="1" applyBorder="1" applyAlignment="1">
      <x:alignment horizontal="center" vertical="center"/>
    </x:xf>
    <x:xf numFmtId="0" fontId="6" fillId="8" borderId="4" xfId="0" applyNumberFormat="1" applyFont="1" applyFill="1" applyBorder="1" applyAlignment="1">
      <x:alignment horizontal="center" vertical="center"/>
    </x:xf>
    <x:xf numFmtId="0" fontId="6" fillId="8" borderId="5" xfId="0" applyNumberFormat="1" applyFont="1" applyFill="1" applyBorder="1" applyAlignment="1">
      <x:alignment horizontal="center" vertical="center"/>
    </x:xf>
    <x:xf numFmtId="0" fontId="6" fillId="8" borderId="6" xfId="0" applyNumberFormat="1" applyFont="1" applyFill="1" applyBorder="1" applyAlignment="1">
      <x:alignment horizontal="center" vertical="center"/>
    </x:xf>
    <x:xf numFmtId="0" fontId="6" fillId="8" borderId="7" xfId="0" applyNumberFormat="1" applyFont="1" applyFill="1" applyBorder="1" applyAlignment="1">
      <x:alignment horizontal="center" vertical="center"/>
    </x:xf>
    <x:xf numFmtId="203" fontId="6" fillId="8" borderId="2" xfId="0" applyNumberFormat="1" applyFont="1" applyFill="1" applyBorder="1" applyAlignment="1">
      <x:alignment horizontal="center" vertical="center"/>
    </x:xf>
    <x:xf numFmtId="0" fontId="4"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6" fillId="8" borderId="8" xfId="0" applyNumberFormat="1" applyFont="1" applyFill="1" applyBorder="1"/>
    <x:xf numFmtId="0" fontId="6" fillId="8" borderId="9" xfId="0" applyNumberFormat="1" applyFont="1" applyFill="1" applyBorder="1"/>
    <x:xf numFmtId="0" fontId="6" fillId="8" borderId="10" xfId="0" applyNumberFormat="1" applyFont="1" applyFill="1" applyBorder="1"/>
    <x:xf numFmtId="0" fontId="6" fillId="8" borderId="11" xfId="0" applyNumberFormat="1" applyFont="1" applyFill="1" applyBorder="1"/>
    <x:xf numFmtId="0" fontId="6" fillId="8" borderId="12" xfId="0" applyNumberFormat="1" applyFont="1" applyFill="1" applyBorder="1"/>
    <x:xf numFmtId="0" fontId="6" fillId="8" borderId="13" xfId="0" applyNumberFormat="1" applyFont="1" applyFill="1" applyBorder="1"/>
    <x:xf numFmtId="0" fontId="6" fillId="8" borderId="8" xfId="0" applyNumberFormat="1" applyFont="1" applyFill="1" applyBorder="1" applyAlignment="1">
      <x:alignment horizontal="center"/>
    </x:xf>
    <x:xf numFmtId="0" fontId="6" fillId="8" borderId="9" xfId="0" applyNumberFormat="1" applyFont="1" applyFill="1" applyBorder="1" applyAlignment="1">
      <x:alignment horizontal="center"/>
    </x:xf>
    <x:xf numFmtId="0" fontId="6" fillId="8" borderId="10" xfId="0" applyNumberFormat="1" applyFont="1" applyFill="1" applyBorder="1" applyAlignment="1">
      <x:alignment horizontal="center"/>
    </x:xf>
    <x:xf numFmtId="0" fontId="6" fillId="8" borderId="11" xfId="0" applyNumberFormat="1" applyFont="1" applyFill="1" applyBorder="1" applyAlignment="1">
      <x:alignment horizontal="center"/>
    </x:xf>
    <x:xf numFmtId="0" fontId="6" fillId="8" borderId="12" xfId="0" applyNumberFormat="1" applyFont="1" applyFill="1" applyBorder="1" applyAlignment="1">
      <x:alignment horizontal="center"/>
    </x:xf>
    <x:xf numFmtId="0" fontId="6" fillId="8" borderId="13" xfId="0" applyNumberFormat="1" applyFont="1" applyFill="1" applyBorder="1" applyAlignment="1">
      <x:alignment horizontal="center"/>
    </x:xf>
    <x:xf numFmtId="0" fontId="6" fillId="8" borderId="8" xfId="0" applyNumberFormat="1" applyFont="1" applyFill="1" applyBorder="1" applyAlignment="1">
      <x:alignment horizontal="center" vertical="center"/>
    </x:xf>
    <x:xf numFmtId="0" fontId="6" fillId="8" borderId="9" xfId="0" applyNumberFormat="1" applyFont="1" applyFill="1" applyBorder="1" applyAlignment="1">
      <x:alignment horizontal="center" vertical="center"/>
    </x:xf>
    <x:xf numFmtId="0" fontId="6" fillId="8" borderId="10" xfId="0" applyNumberFormat="1" applyFont="1" applyFill="1" applyBorder="1" applyAlignment="1">
      <x:alignment horizontal="center" vertical="center"/>
    </x:xf>
    <x:xf numFmtId="0" fontId="6" fillId="8" borderId="11" xfId="0" applyNumberFormat="1" applyFont="1" applyFill="1" applyBorder="1" applyAlignment="1">
      <x:alignment horizontal="center" vertical="center"/>
    </x:xf>
    <x:xf numFmtId="0" fontId="6" fillId="8" borderId="12" xfId="0" applyNumberFormat="1" applyFont="1" applyFill="1" applyBorder="1" applyAlignment="1">
      <x:alignment horizontal="center" vertical="center"/>
    </x:xf>
    <x:xf numFmtId="0" fontId="6" fillId="8" borderId="13" xfId="0" applyNumberFormat="1" applyFont="1" applyFill="1" applyBorder="1" applyAlignment="1">
      <x:alignment horizontal="center" vertical="center"/>
    </x:xf>
    <x:xf numFmtId="204" fontId="6" fillId="8" borderId="8" xfId="0" applyNumberFormat="1" applyFont="1" applyFill="1" applyBorder="1" applyAlignment="1">
      <x:alignment horizontal="center" vertical="center"/>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3" borderId="0" xfId="0" applyNumberFormat="1" applyFont="1" applyFill="1" applyBorder="1" applyAlignment="1">
      <x:alignment horizontal="center" vertical="center" wrapText="1"/>
    </x:xf>
    <x:xf numFmtId="0" fontId="6" fillId="8" borderId="14" xfId="0" applyNumberFormat="1" applyFont="1" applyFill="1" applyBorder="1"/>
    <x:xf numFmtId="0" fontId="6" fillId="8" borderId="15" xfId="0" applyNumberFormat="1" applyFont="1" applyFill="1" applyBorder="1"/>
    <x:xf numFmtId="0" fontId="6" fillId="8" borderId="16" xfId="0" applyNumberFormat="1" applyFont="1" applyFill="1" applyBorder="1"/>
    <x:xf numFmtId="0" fontId="6" fillId="8" borderId="17" xfId="0" applyNumberFormat="1" applyFont="1" applyFill="1" applyBorder="1"/>
    <x:xf numFmtId="0" fontId="6" fillId="8" borderId="18" xfId="0" applyNumberFormat="1" applyFont="1" applyFill="1" applyBorder="1"/>
    <x:xf numFmtId="0" fontId="6" fillId="8" borderId="19" xfId="0" applyNumberFormat="1" applyFont="1" applyFill="1" applyBorder="1"/>
    <x:xf numFmtId="0" fontId="6" fillId="8" borderId="14" xfId="0" applyNumberFormat="1" applyFont="1" applyFill="1" applyBorder="1" applyAlignment="1">
      <x:alignment horizontal="center"/>
    </x:xf>
    <x:xf numFmtId="0" fontId="6" fillId="8" borderId="15" xfId="0" applyNumberFormat="1" applyFont="1" applyFill="1" applyBorder="1" applyAlignment="1">
      <x:alignment horizontal="center"/>
    </x:xf>
    <x:xf numFmtId="0" fontId="6" fillId="8" borderId="16" xfId="0" applyNumberFormat="1" applyFont="1" applyFill="1" applyBorder="1" applyAlignment="1">
      <x:alignment horizontal="center"/>
    </x:xf>
    <x:xf numFmtId="0" fontId="6" fillId="8" borderId="17" xfId="0" applyNumberFormat="1" applyFont="1" applyFill="1" applyBorder="1" applyAlignment="1">
      <x:alignment horizontal="center"/>
    </x:xf>
    <x:xf numFmtId="0" fontId="6" fillId="8" borderId="18" xfId="0" applyNumberFormat="1" applyFont="1" applyFill="1" applyBorder="1" applyAlignment="1">
      <x:alignment horizontal="center"/>
    </x:xf>
    <x:xf numFmtId="0" fontId="6" fillId="8" borderId="19" xfId="0" applyNumberFormat="1" applyFont="1" applyFill="1" applyBorder="1" applyAlignment="1">
      <x:alignment horizontal="center"/>
    </x:xf>
    <x:xf numFmtId="0" fontId="6" fillId="8" borderId="14" xfId="0" applyNumberFormat="1" applyFont="1" applyFill="1" applyBorder="1" applyAlignment="1">
      <x:alignment horizontal="center" vertical="center"/>
    </x:xf>
    <x:xf numFmtId="0" fontId="6" fillId="8" borderId="15" xfId="0" applyNumberFormat="1" applyFont="1" applyFill="1" applyBorder="1" applyAlignment="1">
      <x:alignment horizontal="center" vertical="center"/>
    </x:xf>
    <x:xf numFmtId="0" fontId="6" fillId="8" borderId="16" xfId="0" applyNumberFormat="1" applyFont="1" applyFill="1" applyBorder="1" applyAlignment="1">
      <x:alignment horizontal="center" vertical="center"/>
    </x:xf>
    <x:xf numFmtId="0" fontId="6" fillId="8" borderId="17" xfId="0" applyNumberFormat="1" applyFont="1" applyFill="1" applyBorder="1" applyAlignment="1">
      <x:alignment horizontal="center" vertical="center"/>
    </x:xf>
    <x:xf numFmtId="0" fontId="6" fillId="8" borderId="18" xfId="0" applyNumberFormat="1" applyFont="1" applyFill="1" applyBorder="1" applyAlignment="1">
      <x:alignment horizontal="center" vertical="center"/>
    </x:xf>
    <x:xf numFmtId="0" fontId="6" fillId="8" borderId="19" xfId="0" applyNumberFormat="1" applyFont="1" applyFill="1" applyBorder="1" applyAlignment="1">
      <x:alignment horizontal="center" vertical="center"/>
    </x:xf>
    <x:xf numFmtId="203" fontId="6" fillId="8" borderId="14" xfId="0" applyNumberFormat="1" applyFont="1" applyFill="1" applyBorder="1" applyAlignment="1">
      <x:alignment horizontal="center" vertical="center"/>
    </x:xf>
    <x:xf numFmtId="0" fontId="4" fillId="6" borderId="0" xfId="0" applyNumberFormat="1" applyFont="1" applyFill="1" applyBorder="1" applyAlignment="1">
      <x:alignment vertical="center" wrapText="1"/>
    </x:xf>
    <x:xf numFmtId="0" fontId="5" fillId="6" borderId="0" xfId="0" applyNumberFormat="1" applyFont="1" applyFill="1" applyBorder="1" applyAlignment="1">
      <x:alignment vertical="center" wrapText="1"/>
    </x:xf>
    <x:xf numFmtId="0" fontId="5" fillId="6" borderId="0" xfId="0" applyNumberFormat="1" applyFont="1" applyFill="1" applyBorder="1" applyAlignment="1">
      <x:alignment horizontal="center" vertical="center" wrapText="1"/>
    </x:xf>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3" xfId="0" applyNumberFormat="1" applyFont="1" applyFill="1" applyBorder="1"/>
    <x:xf numFmtId="0" fontId="6" fillId="8" borderId="24" xfId="0" applyNumberFormat="1" applyFont="1" applyFill="1" applyBorder="1"/>
    <x:xf numFmtId="0" fontId="6" fillId="8" borderId="25" xfId="0" applyNumberFormat="1" applyFont="1" applyFill="1" applyBorder="1"/>
    <x:xf numFmtId="0" fontId="6" fillId="8" borderId="20" xfId="0" applyNumberFormat="1" applyFont="1" applyFill="1" applyBorder="1" applyAlignment="1">
      <x:alignment horizontal="center"/>
    </x:xf>
    <x:xf numFmtId="0" fontId="6" fillId="8" borderId="21" xfId="0" applyNumberFormat="1" applyFont="1" applyFill="1" applyBorder="1" applyAlignment="1">
      <x:alignment horizontal="center"/>
    </x:xf>
    <x:xf numFmtId="0" fontId="6" fillId="8" borderId="22" xfId="0" applyNumberFormat="1" applyFont="1" applyFill="1" applyBorder="1" applyAlignment="1">
      <x:alignment horizontal="center"/>
    </x:xf>
    <x:xf numFmtId="0" fontId="6" fillId="8" borderId="23" xfId="0" applyNumberFormat="1" applyFont="1" applyFill="1" applyBorder="1" applyAlignment="1">
      <x:alignment horizontal="center"/>
    </x:xf>
    <x:xf numFmtId="0" fontId="6" fillId="8" borderId="24" xfId="0" applyNumberFormat="1" applyFont="1" applyFill="1" applyBorder="1" applyAlignment="1">
      <x:alignment horizontal="center"/>
    </x:xf>
    <x:xf numFmtId="0" fontId="6" fillId="8" borderId="25" xfId="0" applyNumberFormat="1" applyFont="1" applyFill="1" applyBorder="1" applyAlignment="1">
      <x:alignment horizontal="center"/>
    </x:xf>
    <x:xf numFmtId="0" fontId="6" fillId="8" borderId="20" xfId="0" applyNumberFormat="1" applyFont="1" applyFill="1" applyBorder="1" applyAlignment="1">
      <x:alignment horizontal="center" vertical="center"/>
    </x:xf>
    <x:xf numFmtId="0" fontId="6" fillId="8" borderId="21" xfId="0" applyNumberFormat="1" applyFont="1" applyFill="1" applyBorder="1" applyAlignment="1">
      <x:alignment horizontal="center" vertical="center"/>
    </x:xf>
    <x:xf numFmtId="0" fontId="6" fillId="8" borderId="22" xfId="0" applyNumberFormat="1" applyFont="1" applyFill="1" applyBorder="1" applyAlignment="1">
      <x:alignment horizontal="center" vertical="center"/>
    </x:xf>
    <x:xf numFmtId="0" fontId="6" fillId="8" borderId="23" xfId="0" applyNumberFormat="1" applyFont="1" applyFill="1" applyBorder="1" applyAlignment="1">
      <x:alignment horizontal="center" vertical="center"/>
    </x:xf>
    <x:xf numFmtId="0" fontId="6" fillId="8" borderId="24" xfId="0" applyNumberFormat="1" applyFont="1" applyFill="1" applyBorder="1" applyAlignment="1">
      <x:alignment horizontal="center" vertical="center"/>
    </x:xf>
    <x:xf numFmtId="0" fontId="6" fillId="8" borderId="25" xfId="0" applyNumberFormat="1" applyFont="1" applyFill="1" applyBorder="1" applyAlignment="1">
      <x:alignment horizontal="center" vertical="center"/>
    </x:xf>
    <x:xf numFmtId="204" fontId="6" fillId="8" borderId="20" xfId="0" applyNumberFormat="1" applyFont="1" applyFill="1" applyBorder="1" applyAlignment="1">
      <x:alignment horizontal="center" vertical="center"/>
    </x:xf>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205" fontId="6" fillId="8" borderId="8" xfId="0" applyNumberFormat="1" applyFont="1" applyFill="1" applyBorder="1" applyAlignment="1">
      <x:alignment horizontal="center" vertical="center"/>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204" fontId="6" fillId="8" borderId="2" xfId="0" applyNumberFormat="1" applyFont="1" applyFill="1" applyBorder="1" applyAlignment="1">
      <x:alignment horizontal="center" vertical="center"/>
    </x:xf>
    <x:xf numFmtId="0" fontId="7" fillId="3" borderId="0" xfId="0" applyNumberFormat="1" applyFont="1" applyFill="1" applyBorder="1"/>
    <x:xf numFmtId="0" fontId="7" fillId="3" borderId="0" xfId="0" applyNumberFormat="1" applyFont="1" applyFill="1" applyBorder="1" applyAlignment="1">
      <x:alignment horizontal="center"/>
    </x:xf>
    <x:xf numFmtId="0" fontId="7" fillId="3" borderId="0" xfId="0" applyNumberFormat="1" applyFont="1" applyFill="1" applyBorder="1" applyAlignment="1">
      <x:alignment horizontal="center" vertical="center"/>
    </x:xf>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203" fontId="6" fillId="8" borderId="20" xfId="0" applyNumberFormat="1" applyFont="1" applyFill="1" applyBorder="1" applyAlignment="1">
      <x:alignment horizontal="center" vertical="center"/>
    </x:xf>
    <x:xf numFmtId="0" fontId="8" fillId="4" borderId="0" xfId="0" applyNumberFormat="1" applyFont="1" applyFill="1" applyBorder="1"/>
    <x:xf numFmtId="0" fontId="8" fillId="4" borderId="0" xfId="0" applyNumberFormat="1" applyFont="1" applyFill="1" applyBorder="1" applyAlignment="1">
      <x:alignment vertical="center"/>
    </x:xf>
    <x:xf numFmtId="0" fontId="0" fillId="9" borderId="0" xfId="0" applyNumberFormat="1" applyFont="1" applyFill="1" applyBorder="1"/>
    <x:xf numFmtId="0" fontId="9" fillId="9" borderId="0" xfId="0" applyNumberFormat="1" applyFont="1" applyFill="1" applyBorder="1"/>
    <x:xf numFmtId="0" fontId="9" fillId="9" borderId="26" xfId="0" applyNumberFormat="1" applyFont="1" applyFill="1" applyBorder="1"/>
    <x:xf numFmtId="0" fontId="9" fillId="9" borderId="27" xfId="0" applyNumberFormat="1" applyFont="1" applyFill="1" applyBorder="1"/>
    <x:xf numFmtId="0" fontId="9" fillId="9" borderId="28" xfId="0" applyNumberFormat="1" applyFont="1" applyFill="1" applyBorder="1"/>
    <x:xf numFmtId="0" fontId="9" fillId="9" borderId="29" xfId="0" applyNumberFormat="1" applyFont="1" applyFill="1" applyBorder="1"/>
    <x:xf numFmtId="0" fontId="9" fillId="9" borderId="30" xfId="0" applyNumberFormat="1" applyFont="1" applyFill="1" applyBorder="1"/>
    <x:xf numFmtId="0" fontId="9" fillId="9" borderId="31" xfId="0" applyNumberFormat="1" applyFont="1" applyFill="1" applyBorder="1"/>
    <x:xf numFmtId="0" fontId="9" fillId="9" borderId="32" xfId="0" applyNumberFormat="1" applyFont="1" applyFill="1" applyBorder="1"/>
    <x:xf numFmtId="0" fontId="9" fillId="9" borderId="33" xfId="0" applyNumberFormat="1" applyFont="1" applyFill="1" applyBorder="1"/>
    <x:xf numFmtId="0" fontId="9" fillId="9" borderId="26" xfId="0" applyNumberFormat="1" applyFont="1" applyFill="1" applyBorder="1" applyAlignment="1">
      <x:alignment wrapText="1"/>
    </x:xf>
    <x:xf numFmtId="0" fontId="9" fillId="9" borderId="27" xfId="0" applyNumberFormat="1" applyFont="1" applyFill="1" applyBorder="1" applyAlignment="1">
      <x:alignment wrapText="1"/>
    </x:xf>
    <x:xf numFmtId="0" fontId="9" fillId="9" borderId="28" xfId="0" applyNumberFormat="1" applyFont="1" applyFill="1" applyBorder="1" applyAlignment="1">
      <x:alignment wrapText="1"/>
    </x:xf>
    <x:xf numFmtId="0" fontId="9" fillId="9" borderId="29" xfId="0" applyNumberFormat="1" applyFont="1" applyFill="1" applyBorder="1" applyAlignment="1">
      <x:alignment wrapText="1"/>
    </x:xf>
    <x:xf numFmtId="0" fontId="9" fillId="9" borderId="0" xfId="0" applyNumberFormat="1" applyFont="1" applyFill="1" applyBorder="1" applyAlignment="1">
      <x:alignment wrapText="1"/>
    </x:xf>
    <x:xf numFmtId="0" fontId="9" fillId="9" borderId="30" xfId="0" applyNumberFormat="1" applyFont="1" applyFill="1" applyBorder="1" applyAlignment="1">
      <x:alignment wrapText="1"/>
    </x:xf>
    <x:xf numFmtId="0" fontId="9" fillId="9" borderId="31" xfId="0" applyNumberFormat="1" applyFont="1" applyFill="1" applyBorder="1" applyAlignment="1">
      <x:alignment wrapText="1"/>
    </x:xf>
    <x:xf numFmtId="0" fontId="9" fillId="9" borderId="32" xfId="0" applyNumberFormat="1" applyFont="1" applyFill="1" applyBorder="1" applyAlignment="1">
      <x:alignment wrapText="1"/>
    </x:xf>
    <x:xf numFmtId="0" fontId="9" fillId="9" borderId="33" xfId="0" applyNumberFormat="1" applyFont="1" applyFill="1" applyBorder="1" applyAlignment="1">
      <x:alignment wrapText="1"/>
    </x:xf>
    <x:xf numFmtId="0" fontId="9" fillId="9" borderId="26" xfId="0" applyNumberFormat="1" applyFont="1" applyFill="1" applyBorder="1" applyAlignment="1">
      <x:alignment vertical="top" wrapText="1"/>
    </x:xf>
    <x:xf numFmtId="0" fontId="9" fillId="9" borderId="27" xfId="0" applyNumberFormat="1" applyFont="1" applyFill="1" applyBorder="1" applyAlignment="1">
      <x:alignment vertical="top" wrapText="1"/>
    </x:xf>
    <x:xf numFmtId="0" fontId="9" fillId="9" borderId="28" xfId="0" applyNumberFormat="1" applyFont="1" applyFill="1" applyBorder="1" applyAlignment="1">
      <x:alignment vertical="top" wrapText="1"/>
    </x:xf>
    <x:xf numFmtId="0" fontId="9" fillId="9" borderId="29"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30" xfId="0" applyNumberFormat="1" applyFont="1" applyFill="1" applyBorder="1" applyAlignment="1">
      <x:alignment vertical="top" wrapText="1"/>
    </x:xf>
    <x:xf numFmtId="0" fontId="9" fillId="9" borderId="31" xfId="0" applyNumberFormat="1" applyFont="1" applyFill="1" applyBorder="1" applyAlignment="1">
      <x:alignment vertical="top" wrapText="1"/>
    </x:xf>
    <x:xf numFmtId="0" fontId="9" fillId="9" borderId="32" xfId="0" applyNumberFormat="1" applyFont="1" applyFill="1" applyBorder="1" applyAlignment="1">
      <x:alignment vertical="top" wrapText="1"/>
    </x:xf>
    <x:xf numFmtId="0" fontId="9" fillId="9" borderId="33" xfId="0" applyNumberFormat="1" applyFont="1" applyFill="1" applyBorder="1" applyAlignment="1">
      <x:alignment vertical="top" wrapText="1"/>
    </x:xf>
    <x:xf numFmtId="0" fontId="0" fillId="10" borderId="0" xfId="0" applyNumberFormat="1" applyFont="1" applyFill="1" applyBorder="1"/>
    <x:xf numFmtId="0" fontId="9" fillId="10" borderId="0" xfId="0" applyNumberFormat="1" applyFont="1" applyFill="1" applyBorder="1"/>
    <x:xf numFmtId="0" fontId="9" fillId="10" borderId="26" xfId="0" applyNumberFormat="1" applyFont="1" applyFill="1" applyBorder="1"/>
    <x:xf numFmtId="0" fontId="9" fillId="10" borderId="27" xfId="0" applyNumberFormat="1" applyFont="1" applyFill="1" applyBorder="1"/>
    <x:xf numFmtId="0" fontId="9" fillId="10" borderId="28" xfId="0" applyNumberFormat="1" applyFont="1" applyFill="1" applyBorder="1"/>
    <x:xf numFmtId="0" fontId="9" fillId="10" borderId="29" xfId="0" applyNumberFormat="1" applyFont="1" applyFill="1" applyBorder="1"/>
    <x:xf numFmtId="0" fontId="9" fillId="10" borderId="30" xfId="0" applyNumberFormat="1" applyFont="1" applyFill="1" applyBorder="1"/>
    <x:xf numFmtId="0" fontId="9" fillId="10" borderId="31" xfId="0" applyNumberFormat="1" applyFont="1" applyFill="1" applyBorder="1"/>
    <x:xf numFmtId="0" fontId="9" fillId="10" borderId="32" xfId="0" applyNumberFormat="1" applyFont="1" applyFill="1" applyBorder="1"/>
    <x:xf numFmtId="0" fontId="9" fillId="10" borderId="33" xfId="0" applyNumberFormat="1" applyFont="1" applyFill="1" applyBorder="1"/>
    <x:xf numFmtId="0" fontId="9" fillId="10" borderId="26" xfId="0" applyNumberFormat="1" applyFont="1" applyFill="1" applyBorder="1" applyAlignment="1">
      <x:alignment wrapText="1"/>
    </x:xf>
    <x:xf numFmtId="0" fontId="9" fillId="10" borderId="27" xfId="0" applyNumberFormat="1" applyFont="1" applyFill="1" applyBorder="1" applyAlignment="1">
      <x:alignment wrapText="1"/>
    </x:xf>
    <x:xf numFmtId="0" fontId="9" fillId="10" borderId="28" xfId="0" applyNumberFormat="1" applyFont="1" applyFill="1" applyBorder="1" applyAlignment="1">
      <x:alignment wrapText="1"/>
    </x:xf>
    <x:xf numFmtId="0" fontId="9" fillId="10" borderId="29" xfId="0" applyNumberFormat="1" applyFont="1" applyFill="1" applyBorder="1" applyAlignment="1">
      <x:alignment wrapText="1"/>
    </x:xf>
    <x:xf numFmtId="0" fontId="9" fillId="10" borderId="0" xfId="0" applyNumberFormat="1" applyFont="1" applyFill="1" applyBorder="1" applyAlignment="1">
      <x:alignment wrapText="1"/>
    </x:xf>
    <x:xf numFmtId="0" fontId="9" fillId="10" borderId="30" xfId="0" applyNumberFormat="1" applyFont="1" applyFill="1" applyBorder="1" applyAlignment="1">
      <x:alignment wrapText="1"/>
    </x:xf>
    <x:xf numFmtId="0" fontId="9" fillId="10" borderId="31" xfId="0" applyNumberFormat="1" applyFont="1" applyFill="1" applyBorder="1" applyAlignment="1">
      <x:alignment wrapText="1"/>
    </x:xf>
    <x:xf numFmtId="0" fontId="9" fillId="10" borderId="32" xfId="0" applyNumberFormat="1" applyFont="1" applyFill="1" applyBorder="1" applyAlignment="1">
      <x:alignment wrapText="1"/>
    </x:xf>
    <x:xf numFmtId="0" fontId="9" fillId="10" borderId="33" xfId="0" applyNumberFormat="1" applyFont="1" applyFill="1" applyBorder="1" applyAlignment="1">
      <x:alignment wrapText="1"/>
    </x:xf>
    <x:xf numFmtId="0" fontId="9" fillId="10" borderId="26" xfId="0" applyNumberFormat="1" applyFont="1" applyFill="1" applyBorder="1" applyAlignment="1">
      <x:alignment vertical="top" wrapText="1"/>
    </x:xf>
    <x:xf numFmtId="0" fontId="9" fillId="10" borderId="27" xfId="0" applyNumberFormat="1" applyFont="1" applyFill="1" applyBorder="1" applyAlignment="1">
      <x:alignment vertical="top" wrapText="1"/>
    </x:xf>
    <x:xf numFmtId="0" fontId="9" fillId="10" borderId="28" xfId="0" applyNumberFormat="1" applyFont="1" applyFill="1" applyBorder="1" applyAlignment="1">
      <x:alignment vertical="top" wrapText="1"/>
    </x:xf>
    <x:xf numFmtId="0" fontId="9" fillId="10" borderId="29"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30" xfId="0" applyNumberFormat="1" applyFont="1" applyFill="1" applyBorder="1" applyAlignment="1">
      <x:alignment vertical="top" wrapText="1"/>
    </x:xf>
    <x:xf numFmtId="0" fontId="9" fillId="10" borderId="31" xfId="0" applyNumberFormat="1" applyFont="1" applyFill="1" applyBorder="1" applyAlignment="1">
      <x:alignment vertical="top" wrapText="1"/>
    </x:xf>
    <x:xf numFmtId="0" fontId="9" fillId="10" borderId="32" xfId="0" applyNumberFormat="1" applyFont="1" applyFill="1" applyBorder="1" applyAlignment="1">
      <x:alignment vertical="top" wrapText="1"/>
    </x:xf>
    <x:xf numFmtId="0" fontId="9" fillId="10" borderId="33" xfId="0" applyNumberFormat="1" applyFont="1" applyFill="1" applyBorder="1" applyAlignment="1">
      <x:alignment vertical="top" wrapText="1"/>
    </x:xf>
    <x:xf numFmtId="0" fontId="10" fillId="5" borderId="0" xfId="0" applyNumberFormat="1" applyFont="1" applyFill="1" applyBorder="1"/>
    <x:xf numFmtId="0" fontId="10" fillId="5" borderId="0" xfId="0" applyNumberFormat="1" applyFont="1" applyFill="1" applyBorder="1" applyAlignment="1">
      <x:alignment vertical="center"/>
    </x:xf>
    <x:xf numFmtId="0" fontId="0" fillId="11" borderId="0" xfId="0" applyNumberFormat="1" applyFont="1" applyFill="1" applyBorder="1"/>
    <x:xf numFmtId="0" fontId="10" fillId="11" borderId="0" xfId="0" applyNumberFormat="1" applyFont="1" applyFill="1" applyBorder="1"/>
    <x:xf numFmtId="0" fontId="10" fillId="11" borderId="8" xfId="0" applyNumberFormat="1" applyFont="1" applyFill="1" applyBorder="1"/>
    <x:xf numFmtId="0" fontId="10" fillId="11" borderId="9" xfId="0" applyNumberFormat="1" applyFont="1" applyFill="1" applyBorder="1"/>
    <x:xf numFmtId="0" fontId="10" fillId="11" borderId="10" xfId="0" applyNumberFormat="1" applyFont="1" applyFill="1" applyBorder="1"/>
    <x:xf numFmtId="0" fontId="10" fillId="11" borderId="34" xfId="0" applyNumberFormat="1" applyFont="1" applyFill="1" applyBorder="1"/>
    <x:xf numFmtId="0" fontId="10" fillId="11" borderId="35" xfId="0" applyNumberFormat="1" applyFont="1" applyFill="1" applyBorder="1"/>
    <x:xf numFmtId="0" fontId="10" fillId="11" borderId="11" xfId="0" applyNumberFormat="1" applyFont="1" applyFill="1" applyBorder="1"/>
    <x:xf numFmtId="0" fontId="10" fillId="11" borderId="12" xfId="0" applyNumberFormat="1" applyFont="1" applyFill="1" applyBorder="1"/>
    <x:xf numFmtId="0" fontId="10" fillId="11" borderId="13" xfId="0" applyNumberFormat="1" applyFont="1" applyFill="1" applyBorder="1"/>
    <x:xf numFmtId="0" fontId="10" fillId="11" borderId="8" xfId="0" applyNumberFormat="1" applyFont="1" applyFill="1" applyBorder="1" applyAlignment="1">
      <x:alignment wrapText="1"/>
    </x:xf>
    <x:xf numFmtId="0" fontId="10" fillId="11" borderId="9" xfId="0" applyNumberFormat="1" applyFont="1" applyFill="1" applyBorder="1" applyAlignment="1">
      <x:alignment wrapText="1"/>
    </x:xf>
    <x:xf numFmtId="0" fontId="10" fillId="11" borderId="10" xfId="0" applyNumberFormat="1" applyFont="1" applyFill="1" applyBorder="1" applyAlignment="1">
      <x:alignment wrapText="1"/>
    </x:xf>
    <x:xf numFmtId="0" fontId="10" fillId="11" borderId="34" xfId="0" applyNumberFormat="1" applyFont="1" applyFill="1" applyBorder="1" applyAlignment="1">
      <x:alignment wrapText="1"/>
    </x:xf>
    <x:xf numFmtId="0" fontId="10" fillId="11" borderId="0" xfId="0" applyNumberFormat="1" applyFont="1" applyFill="1" applyBorder="1" applyAlignment="1">
      <x:alignment wrapText="1"/>
    </x:xf>
    <x:xf numFmtId="0" fontId="10" fillId="11" borderId="35" xfId="0" applyNumberFormat="1" applyFont="1" applyFill="1" applyBorder="1" applyAlignment="1">
      <x:alignment wrapText="1"/>
    </x:xf>
    <x:xf numFmtId="0" fontId="10" fillId="11" borderId="11" xfId="0" applyNumberFormat="1" applyFont="1" applyFill="1" applyBorder="1" applyAlignment="1">
      <x:alignment wrapText="1"/>
    </x:xf>
    <x:xf numFmtId="0" fontId="10" fillId="11" borderId="12" xfId="0" applyNumberFormat="1" applyFont="1" applyFill="1" applyBorder="1" applyAlignment="1">
      <x:alignment wrapText="1"/>
    </x:xf>
    <x:xf numFmtId="0" fontId="10" fillId="11" borderId="13" xfId="0" applyNumberFormat="1" applyFont="1" applyFill="1" applyBorder="1" applyAlignment="1">
      <x:alignment wrapText="1"/>
    </x:xf>
    <x:xf numFmtId="0" fontId="10" fillId="11" borderId="8" xfId="0" applyNumberFormat="1" applyFont="1" applyFill="1" applyBorder="1" applyAlignment="1">
      <x:alignment vertical="center" wrapText="1"/>
    </x:xf>
    <x:xf numFmtId="0" fontId="10" fillId="11" borderId="9" xfId="0" applyNumberFormat="1" applyFont="1" applyFill="1" applyBorder="1" applyAlignment="1">
      <x:alignment vertical="center" wrapText="1"/>
    </x:xf>
    <x:xf numFmtId="0" fontId="10" fillId="11" borderId="10" xfId="0" applyNumberFormat="1" applyFont="1" applyFill="1" applyBorder="1" applyAlignment="1">
      <x:alignment vertical="center" wrapText="1"/>
    </x:xf>
    <x:xf numFmtId="0" fontId="10" fillId="11" borderId="34" xfId="0" applyNumberFormat="1" applyFont="1" applyFill="1" applyBorder="1" applyAlignment="1">
      <x:alignment vertical="center" wrapText="1"/>
    </x:xf>
    <x:xf numFmtId="0" fontId="10" fillId="11" borderId="0" xfId="0" applyNumberFormat="1" applyFont="1" applyFill="1" applyBorder="1" applyAlignment="1">
      <x:alignment vertical="center" wrapText="1"/>
    </x:xf>
    <x:xf numFmtId="0" fontId="10" fillId="11" borderId="35" xfId="0" applyNumberFormat="1" applyFont="1" applyFill="1" applyBorder="1" applyAlignment="1">
      <x:alignment vertical="center" wrapText="1"/>
    </x:xf>
    <x:xf numFmtId="0" fontId="10" fillId="11" borderId="11" xfId="0" applyNumberFormat="1" applyFont="1" applyFill="1" applyBorder="1" applyAlignment="1">
      <x:alignment vertical="center" wrapText="1"/>
    </x:xf>
    <x:xf numFmtId="0" fontId="10" fillId="11" borderId="12" xfId="0" applyNumberFormat="1" applyFont="1" applyFill="1" applyBorder="1" applyAlignment="1">
      <x:alignment vertical="center" wrapText="1"/>
    </x:xf>
    <x:xf numFmtId="0" fontId="10" fillId="11" borderId="13" xfId="0" applyNumberFormat="1" applyFont="1" applyFill="1" applyBorder="1" applyAlignment="1">
      <x:alignment vertical="center" wrapText="1"/>
    </x:xf>
    <x:xf numFmtId="0" fontId="11" fillId="3" borderId="0" xfId="0" applyNumberFormat="1" applyFont="1" applyFill="1" applyBorder="1"/>
    <x:xf numFmtId="0" fontId="12" fillId="7" borderId="0" xfId="0" applyNumberFormat="1" applyFont="1" applyFill="1" applyBorder="1"/>
    <x:xf numFmtId="0" fontId="12" fillId="7" borderId="26" xfId="0" applyNumberFormat="1" applyFont="1" applyFill="1" applyBorder="1"/>
    <x:xf numFmtId="0" fontId="12" fillId="7" borderId="27" xfId="0" applyNumberFormat="1" applyFont="1" applyFill="1" applyBorder="1"/>
    <x:xf numFmtId="0" fontId="12" fillId="7" borderId="28" xfId="0" applyNumberFormat="1" applyFont="1" applyFill="1" applyBorder="1"/>
    <x:xf numFmtId="0" fontId="12" fillId="7" borderId="29" xfId="0" applyNumberFormat="1" applyFont="1" applyFill="1" applyBorder="1"/>
    <x:xf numFmtId="0" fontId="12" fillId="7" borderId="30" xfId="0" applyNumberFormat="1" applyFont="1" applyFill="1" applyBorder="1"/>
    <x:xf numFmtId="0" fontId="12" fillId="7" borderId="31" xfId="0" applyNumberFormat="1" applyFont="1" applyFill="1" applyBorder="1"/>
    <x:xf numFmtId="0" fontId="12" fillId="7" borderId="32" xfId="0" applyNumberFormat="1" applyFont="1" applyFill="1" applyBorder="1"/>
    <x:xf numFmtId="0" fontId="12" fillId="7" borderId="33" xfId="0" applyNumberFormat="1" applyFont="1" applyFill="1" applyBorder="1"/>
    <x:xf numFmtId="0" fontId="12" fillId="7" borderId="26" xfId="0" applyNumberFormat="1" applyFont="1" applyFill="1" applyBorder="1" applyAlignment="1">
      <x:alignment wrapText="1"/>
    </x:xf>
    <x:xf numFmtId="0" fontId="12" fillId="7" borderId="27" xfId="0" applyNumberFormat="1" applyFont="1" applyFill="1" applyBorder="1" applyAlignment="1">
      <x:alignment wrapText="1"/>
    </x:xf>
    <x:xf numFmtId="0" fontId="12" fillId="7" borderId="28" xfId="0" applyNumberFormat="1" applyFont="1" applyFill="1" applyBorder="1" applyAlignment="1">
      <x:alignment wrapText="1"/>
    </x:xf>
    <x:xf numFmtId="0" fontId="12" fillId="7" borderId="29" xfId="0" applyNumberFormat="1" applyFont="1" applyFill="1" applyBorder="1" applyAlignment="1">
      <x:alignment wrapText="1"/>
    </x:xf>
    <x:xf numFmtId="0" fontId="12" fillId="7" borderId="0" xfId="0" applyNumberFormat="1" applyFont="1" applyFill="1" applyBorder="1" applyAlignment="1">
      <x:alignment wrapText="1"/>
    </x:xf>
    <x:xf numFmtId="0" fontId="12" fillId="7" borderId="30" xfId="0" applyNumberFormat="1" applyFont="1" applyFill="1" applyBorder="1" applyAlignment="1">
      <x:alignment wrapText="1"/>
    </x:xf>
    <x:xf numFmtId="0" fontId="12" fillId="7" borderId="31" xfId="0" applyNumberFormat="1" applyFont="1" applyFill="1" applyBorder="1" applyAlignment="1">
      <x:alignment wrapText="1"/>
    </x:xf>
    <x:xf numFmtId="0" fontId="12" fillId="7" borderId="32" xfId="0" applyNumberFormat="1" applyFont="1" applyFill="1" applyBorder="1" applyAlignment="1">
      <x:alignment wrapText="1"/>
    </x:xf>
    <x:xf numFmtId="0" fontId="12" fillId="7" borderId="33" xfId="0" applyNumberFormat="1" applyFont="1" applyFill="1" applyBorder="1" applyAlignment="1">
      <x:alignment wrapText="1"/>
    </x:xf>
    <x:xf numFmtId="0" fontId="12" fillId="7" borderId="26" xfId="0" applyNumberFormat="1" applyFont="1" applyFill="1" applyBorder="1" applyAlignment="1">
      <x:alignment vertical="center" wrapText="1"/>
    </x:xf>
    <x:xf numFmtId="0" fontId="12" fillId="7" borderId="27" xfId="0" applyNumberFormat="1" applyFont="1" applyFill="1" applyBorder="1" applyAlignment="1">
      <x:alignment vertical="center" wrapText="1"/>
    </x:xf>
    <x:xf numFmtId="0" fontId="12" fillId="7" borderId="28" xfId="0" applyNumberFormat="1" applyFont="1" applyFill="1" applyBorder="1" applyAlignment="1">
      <x:alignment vertical="center" wrapText="1"/>
    </x:xf>
    <x:xf numFmtId="0" fontId="12" fillId="7" borderId="29" xfId="0" applyNumberFormat="1" applyFont="1" applyFill="1" applyBorder="1" applyAlignment="1">
      <x:alignment vertical="center" wrapText="1"/>
    </x:xf>
    <x:xf numFmtId="0" fontId="12" fillId="7" borderId="0" xfId="0" applyNumberFormat="1" applyFont="1" applyFill="1" applyBorder="1" applyAlignment="1">
      <x:alignment vertical="center" wrapText="1"/>
    </x:xf>
    <x:xf numFmtId="0" fontId="12" fillId="7" borderId="30" xfId="0" applyNumberFormat="1" applyFont="1" applyFill="1" applyBorder="1" applyAlignment="1">
      <x:alignment vertical="center" wrapText="1"/>
    </x:xf>
    <x:xf numFmtId="0" fontId="12" fillId="7" borderId="31" xfId="0" applyNumberFormat="1" applyFont="1" applyFill="1" applyBorder="1" applyAlignment="1">
      <x:alignment vertical="center" wrapText="1"/>
    </x:xf>
    <x:xf numFmtId="0" fontId="12" fillId="7" borderId="32" xfId="0" applyNumberFormat="1" applyFont="1" applyFill="1" applyBorder="1" applyAlignment="1">
      <x:alignment vertical="center" wrapText="1"/>
    </x:xf>
    <x:xf numFmtId="0" fontId="12" fillId="7" borderId="33" xfId="0" applyNumberFormat="1" applyFont="1" applyFill="1" applyBorder="1" applyAlignment="1">
      <x:alignment vertical="center" wrapText="1"/>
    </x:xf>
  </x:cellXfs>
  <x:cellStyles count="1">
    <x:cellStyle name="Normal" xfId="0"/>
  </x:cellStyles>
  <x:dxfs count="9">
    <x:dxf>
      <x:font>
        <x:b/>
        <x:color rgb="FFC0392B"/>
      </x:font>
      <x:fill>
        <x:patternFill patternType="solid">
          <x:bgColor rgb="FFFCE8E6"/>
        </x:patternFill>
      </x:fill>
    </x:dxf>
    <x:dxf>
      <x:font>
        <x:b/>
        <x:color rgb="FFC0392B"/>
      </x:font>
      <x:fill>
        <x:patternFill patternType="solid">
          <x:bgColor rgb="FFFCE8E6"/>
        </x:patternFill>
      </x:fill>
    </x:dxf>
    <x:dxf>
      <x:font>
        <x:b/>
        <x:color rgb="FF2E8B57"/>
      </x:font>
      <x:fill>
        <x:patternFill patternType="solid">
          <x:bgColor rgb="FFE9F7EF"/>
        </x:patternFill>
      </x:fill>
    </x:dxf>
    <x:dxf>
      <x:font>
        <x:b/>
        <x:color rgb="FFF28C28"/>
      </x:font>
      <x:fill>
        <x:patternFill patternType="solid">
          <x:bgColor rgb="FFFFF4CC"/>
        </x:patternFill>
      </x:fill>
    </x:dxf>
    <x:dxf>
      <x:font>
        <x:b/>
        <x:color rgb="FFC0392B"/>
      </x:font>
      <x:fill>
        <x:patternFill patternType="solid">
          <x:bgColor rgb="FFFCE8E6"/>
        </x:patternFill>
      </x:fill>
    </x:dxf>
    <x:dxf>
      <x:font>
        <x:b/>
        <x:color rgb="FFC0392B"/>
      </x:font>
      <x:fill>
        <x:patternFill patternType="solid">
          <x:bgColor rgb="FFFCE8E6"/>
        </x:patternFill>
      </x:fill>
    </x:dxf>
    <x:dxf>
      <x:font>
        <x:b/>
        <x:color rgb="FF2E8B57"/>
      </x:font>
      <x:fill>
        <x:patternFill patternType="solid">
          <x:bgColor rgb="FFE9F7EF"/>
        </x:patternFill>
      </x:fill>
    </x:dxf>
    <x:dxf>
      <x:font>
        <x:b/>
        <x:color rgb="FF23B8D1"/>
      </x:font>
      <x:fill>
        <x:patternFill patternType="solid">
          <x:bgColor rgb="FFE7F7FA"/>
        </x:patternFill>
      </x:fill>
    </x:dxf>
    <x:dxf>
      <x:font>
        <x:b/>
        <x:color rgb="FFC0392B"/>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02de9e8a5244ad" /><Relationship Type="http://schemas.openxmlformats.org/officeDocument/2006/relationships/theme" Target="/xl/theme/theme1.xml" Id="Rc0f054a2079843dc" /><Relationship Type="http://schemas.openxmlformats.org/officeDocument/2006/relationships/sharedStrings" Target="/xl/sharedStrings.xml" Id="R0b5ad7b5b1114105" /><Relationship Type="http://schemas.openxmlformats.org/officeDocument/2006/relationships/worksheet" Target="/xl/worksheets/sheet1.xml" Id="R9da18a1af1c84427" /><Relationship Type="http://schemas.openxmlformats.org/officeDocument/2006/relationships/worksheet" Target="/xl/worksheets/sheet2.xml" Id="R6636d3c44c224c7e" /><Relationship Type="http://schemas.openxmlformats.org/officeDocument/2006/relationships/worksheet" Target="/xl/worksheets/sheet3.xml" Id="R282876d474d44084" /><Relationship Type="http://schemas.openxmlformats.org/officeDocument/2006/relationships/worksheet" Target="/xl/worksheets/sheet4.xml" Id="Rf7c6d65d230e4f6d" /><Relationship Type="http://schemas.openxmlformats.org/officeDocument/2006/relationships/worksheet" Target="/xl/worksheets/sheet5.xml" Id="Rd9594835da944b9b" /><Relationship Type="http://schemas.openxmlformats.org/officeDocument/2006/relationships/worksheet" Target="/xl/worksheets/sheet6.xml" Id="R7b780fa28b9a4ced" /><Relationship Type="http://schemas.openxmlformats.org/officeDocument/2006/relationships/worksheet" Target="/xl/worksheets/sheet7.xml" Id="Re1a0e999dc56485d" /></Relationships>
</file>

<file path=xl/drawings/_rels/drawing1.xml.rels>&#65279;<?xml version="1.0" encoding="utf-8"?><Relationships xmlns="http://schemas.openxmlformats.org/package/2006/relationships"><Relationship Type="http://schemas.openxmlformats.org/officeDocument/2006/relationships/chart" Target="/xl/drawings/charts/chart1.xml" Id="Rc987dbd59a6243f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Carga histórica por responsable</a:t>
            </a:r>
          </a:p>
        </c:rich>
      </c:tx>
      <c:overlay val="0"/>
    </c:title>
    <c:plotArea>
      <c:barChart>
        <c:barDir val="col"/>
        <c:varyColors val="0"/>
        <c:ser>
          <c:idx val="0"/>
          <c:order val="0"/>
          <c:tx>
            <c:v>Tareas</c:v>
          </c:tx>
          <c:cat>
            <c:strRef>
              <c:f>'01_Personas_2025'!$A$2:$A$11</c:f>
              <c:strCache>
                <c:ptCount val="0"/>
              </c:strCache>
            </c:strRef>
          </c:cat>
          <c:val>
            <c:numRef>
              <c:f>'01_Personas_2025'!$B$2:$B$11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xdr:row>
      <xdr:rowOff>0</xdr:rowOff>
    </xdr:from>
    <xdr:to>
      <xdr:col>19</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87dbd59a6243f1"/>
        </a:graphicData>
      </a:graphic>
    </xdr:graphicFrame>
    <xdr:clientData/>
  </xdr:twoCellAnchor>
</xdr:wsDr>
</file>

<file path=xl/tables/table1.xml><?xml version="1.0" encoding="utf-8"?>
<x:table xmlns:x="http://schemas.openxmlformats.org/spreadsheetml/2006/main" id="4" name="PersonasHistoricasTable" displayName="PersonasHistoricasTable" ref="A1:I11" headerRowCount="1" totalsRowCount="0" totalsRowShown="0">
  <x:tableColumns count="9">
    <x:tableColumn id="1" name="Responsable histórico"/>
    <x:tableColumn id="2" name="Tareas"/>
    <x:tableColumn id="3" name="% del total"/>
    <x:tableColumn id="4" name="Completadas"/>
    <x:tableColumn id="5" name="En progreso"/>
    <x:tableColumn id="6" name="Pendientes"/>
    <x:tableColumn id="7" name="% completado"/>
    <x:tableColumn id="8" name="Principales paquetes"/>
    <x:tableColumn id="9" name="Lectura 2026"/>
  </x:tableColumns>
  <x:tableStyleInfo name="TableStyleMedium2" showFirstColumn="0" showLastColumn="0" showRowStripes="1" showColumnStripes="0"/>
</x:table>
</file>

<file path=xl/tables/table2.xml><?xml version="1.0" encoding="utf-8"?>
<x:table xmlns:x="http://schemas.openxmlformats.org/spreadsheetml/2006/main" id="3" name="Paquetes2026Table" displayName="Paquetes2026Table" ref="A1:L18" headerRowCount="1" totalsRowCount="0" totalsRowShown="0">
  <x:tableColumns count="12">
    <x:tableColumn id="1" name="Paquete ID"/>
    <x:tableColumn id="2" name="Frente"/>
    <x:tableColumn id="3" name="Paquete"/>
    <x:tableColumn id="4" name="Tareas 2025"/>
    <x:tableColumn id="5" name="Completadas 2025"/>
    <x:tableColumn id="6" name="Sin cierre 2025"/>
    <x:tableColumn id="7" name="Tareas plan 2026"/>
    <x:tableColumn id="8" name="Dueño 2026 propuesto"/>
    <x:tableColumn id="9" name="Aprobador 2026"/>
    <x:tableColumn id="10" name="Fase"/>
    <x:tableColumn id="11" name="Gate"/>
    <x:tableColumn id="12" name="Lectura"/>
  </x:tableColumns>
  <x:tableStyleInfo name="TableStyleMedium2" showFirstColumn="0" showLastColumn="0" showRowStripes="1" showColumnStripes="0"/>
</x:table>
</file>

<file path=xl/tables/table3.xml><?xml version="1.0" encoding="utf-8"?>
<x:table xmlns:x="http://schemas.openxmlformats.org/spreadsheetml/2006/main" id="1" name="InventarioHistoricoTable" displayName="InventarioHistoricoTable" ref="A1:Z189" headerRowCount="1" totalsRowCount="0" totalsRowShown="0">
  <x:tableColumns count="26">
    <x:tableColumn id="1" name="Fila fuente"/>
    <x:tableColumn id="2" name="ID Bitrix"/>
    <x:tableColumn id="3" name="Tarea 2025"/>
    <x:tableColumn id="4" name="Responsable 2025"/>
    <x:tableColumn id="5" name="Creado por 2025"/>
    <x:tableColumn id="6" name="Estado 2025"/>
    <x:tableColumn id="7" name="Creado el"/>
    <x:tableColumn id="8" name="Fecha límite"/>
    <x:tableColumn id="9" name="Cerrado el"/>
    <x:tableColumn id="10" name="Participantes 2025"/>
    <x:tableColumn id="11" name="Etiquetas"/>
    <x:tableColumn id="12" name="ID padre"/>
    <x:tableColumn id="13" name="Paquete 2026 ID"/>
    <x:tableColumn id="14" name="Frente 2026"/>
    <x:tableColumn id="15" name="Paquete 2026"/>
    <x:tableColumn id="16" name="Tratamiento 2026"/>
    <x:tableColumn id="17" name="Riesgo"/>
    <x:tableColumn id="18" name="Dueño 2026 propuesto"/>
    <x:tableColumn id="19" name="Aprobador 2026 propuesto"/>
    <x:tableColumn id="20" name="Fase 2026"/>
    <x:tableColumn id="21" name="Gate 2026"/>
    <x:tableColumn id="22" name="Criterio 2026"/>
    <x:tableColumn id="23" name="Descripción sanitizada"/>
    <x:tableColumn id="24" name="Dato omitido"/>
    <x:tableColumn id="25" name="Cumplimiento de plazo"/>
    <x:tableColumn id="26" name="Días creación→límite"/>
  </x:tableColumns>
  <x:tableStyleInfo name="TableStyleMedium2" showFirstColumn="0" showLastColumn="0" showRowStripes="1" showColumnStripes="0"/>
</x:table>
</file>

<file path=xl/tables/table4.xml><?xml version="1.0" encoding="utf-8"?>
<x:table xmlns:x="http://schemas.openxmlformats.org/spreadsheetml/2006/main" id="2" name="PlanFinados2026Table" displayName="PlanFinados2026Table" ref="A1:P74" headerRowCount="1" totalsRowCount="0" totalsRowShown="0">
  <x:tableColumns count="16">
    <x:tableColumn id="1" name="ID"/>
    <x:tableColumn id="2" name="Paquete ID"/>
    <x:tableColumn id="3" name="Fase"/>
    <x:tableColumn id="4" name="Inicio"/>
    <x:tableColumn id="5" name="Fin"/>
    <x:tableColumn id="6" name="Prioridad"/>
    <x:tableColumn id="7" name="Estado"/>
    <x:tableColumn id="8" name="Tarea/entregable"/>
    <x:tableColumn id="9" name="Responsable"/>
    <x:tableColumn id="10" name="Apoyo"/>
    <x:tableColumn id="11" name="Aprobador"/>
    <x:tableColumn id="12" name="Dependencia o gate"/>
    <x:tableColumn id="13" name="Evidencia de cierre"/>
    <x:tableColumn id="14" name="Tareas históricas mapeadas"/>
    <x:tableColumn id="15" name="Duración días"/>
    <x:tableColumn id="16" name="Nota"/>
  </x:tableColumns>
  <x:tableStyleInfo name="TableStyleMedium2" showFirstColumn="0" showLastColumn="0" showRowStripes="1" showColumnStripes="0"/>
</x:table>
</file>

<file path=xl/tables/table5.xml><?xml version="1.0" encoding="utf-8"?>
<x:table xmlns:x="http://schemas.openxmlformats.org/spreadsheetml/2006/main" id="5" name="RaciFinados2026Table" displayName="RaciFinados2026Table" ref="A1:H19" headerRowCount="1" totalsRowCount="0" totalsRowShown="0">
  <x:tableColumns count="8">
    <x:tableColumn id="1" name="Rol 2026"/>
    <x:tableColumn id="2" name="Persona / estado"/>
    <x:tableColumn id="3" name="R — ejecuta"/>
    <x:tableColumn id="4" name="A — aprueba"/>
    <x:tableColumn id="5" name="Apoya"/>
    <x:tableColumn id="6" name="Suplente"/>
    <x:tableColumn id="7" name="Estado"/>
    <x:tableColumn id="8" name="Validación pendien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0a2a5f9e54034b1d" /><Relationship Type="http://schemas.openxmlformats.org/officeDocument/2006/relationships/table" Target="/xl/tables/table1.xml" Id="R8170dffa89fd4c52" /></Relationships>
</file>

<file path=xl/worksheets/_rels/sheet3.xml.rels>&#65279;<?xml version="1.0" encoding="utf-8"?><Relationships xmlns="http://schemas.openxmlformats.org/package/2006/relationships"><Relationship Type="http://schemas.openxmlformats.org/officeDocument/2006/relationships/table" Target="/xl/tables/table2.xml" Id="R94a953c381e549f8" /></Relationships>
</file>

<file path=xl/worksheets/_rels/sheet4.xml.rels>&#65279;<?xml version="1.0" encoding="utf-8"?><Relationships xmlns="http://schemas.openxmlformats.org/package/2006/relationships"><Relationship Type="http://schemas.openxmlformats.org/officeDocument/2006/relationships/table" Target="/xl/tables/table3.xml" Id="R7d4a0bd7b3e54acd" /></Relationships>
</file>

<file path=xl/worksheets/_rels/sheet5.xml.rels>&#65279;<?xml version="1.0" encoding="utf-8"?><Relationships xmlns="http://schemas.openxmlformats.org/package/2006/relationships"><Relationship Type="http://schemas.openxmlformats.org/officeDocument/2006/relationships/table" Target="/xl/tables/table4.xml" Id="R7f5728a0065c48aa" /></Relationships>
</file>

<file path=xl/worksheets/_rels/sheet6.xml.rels>&#65279;<?xml version="1.0" encoding="utf-8"?><Relationships xmlns="http://schemas.openxmlformats.org/package/2006/relationships"><Relationship Type="http://schemas.openxmlformats.org/officeDocument/2006/relationships/table" Target="/xl/tables/table5.xml" Id="R2a63e52803bb4009"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14" hidden="0" customWidth="1"/>
    <x:col min="4" max="4" width="15" hidden="0" customWidth="1"/>
    <x:col min="5" max="5" width="14" hidden="0" customWidth="1"/>
    <x:col min="6" max="6" width="14" hidden="0" customWidth="1"/>
    <x:col min="7" max="7" width="15" hidden="0" customWidth="1"/>
    <x:col min="8" max="8" width="14" hidden="0" customWidth="1"/>
    <x:col min="9" max="9" width="14" hidden="0" customWidth="1"/>
    <x:col min="10" max="10" width="15" hidden="0" customWidth="1"/>
    <x:col min="11" max="11" width="14" hidden="0" customWidth="1"/>
    <x:col min="12" max="12" width="14" hidden="0" customWidth="1"/>
  </x:cols>
  <x:sheetData>
    <x:row r="1" ht="44" customHeight="1">
      <x:c r="A1" s="41" t="str">
        <x:v>FINADOS 2026 · MEMORIA OPERATIVA DEL EQUIPO</x:v>
      </x:c>
      <x:c r="B1" s="41"/>
      <x:c r="C1" s="41"/>
      <x:c r="D1" s="41"/>
      <x:c r="E1" s="41"/>
      <x:c r="F1" s="41"/>
      <x:c r="G1" s="41"/>
      <x:c r="H1" s="41"/>
      <x:c r="I1" s="41"/>
      <x:c r="J1" s="41"/>
      <x:c r="K1" s="41"/>
      <x:c r="L1" s="41"/>
    </x:row>
    <x:row r="2" ht="22" customHeight="1">
      <x:c r="A2" s="45" t="str">
        <x:v>188 tareas históricas preservadas y sanitizadas; 73 tareas 2026 consolidadas. El estado «Completada» de Bitrix no demuestra impacto ni calidad.</x:v>
      </x:c>
      <x:c r="B2" s="45"/>
      <x:c r="C2" s="45"/>
      <x:c r="D2" s="45"/>
      <x:c r="E2" s="45"/>
      <x:c r="F2" s="45"/>
      <x:c r="G2" s="45"/>
      <x:c r="H2" s="45"/>
      <x:c r="I2" s="45"/>
      <x:c r="J2" s="45"/>
      <x:c r="K2" s="45"/>
      <x:c r="L2" s="45"/>
    </x:row>
    <x:row r="3" ht="22" customHeight="1">
      <x:c r="A3" s="48" t="str">
        <x:v>Tareas históricas</x:v>
      </x:c>
      <x:c r="B3" s="48"/>
      <x:c r="C3" s="48"/>
      <x:c r="D3" s="72" t="str">
        <x:v>% completado</x:v>
      </x:c>
      <x:c r="E3" s="72"/>
      <x:c r="F3" s="72"/>
      <x:c r="G3" s="94" t="str">
        <x:v>Cierres después del plazo</x:v>
      </x:c>
      <x:c r="H3" s="94"/>
      <x:c r="I3" s="94"/>
      <x:c r="J3" s="116" t="str">
        <x:v>Carga máxima en una persona</x:v>
      </x:c>
      <x:c r="K3" s="116"/>
      <x:c r="L3" s="116"/>
    </x:row>
    <x:row r="4" ht="48" customHeight="1">
      <x:c r="A4" s="69" t="n">
        <x:f>COUNTA('03_Inventario_2025'!$C$2:$C$189)</x:f>
        <x:v>188</x:v>
      </x:c>
      <x:c r="B4" s="64"/>
      <x:c r="C4" s="65"/>
      <x:c r="D4" s="91" t="n">
        <x:f>COUNTIF('03_Inventario_2025'!$F$2:$F$189,"Completada")/COUNTA('03_Inventario_2025'!$C$2:$C$189)</x:f>
        <x:v>0.8882978723404256</x:v>
      </x:c>
      <x:c r="E4" s="86"/>
      <x:c r="F4" s="87"/>
      <x:c r="G4" s="113" t="n">
        <x:f>COUNTIF('03_Inventario_2025'!$Y$2:$Y$189,"Tarde")</x:f>
        <x:v>68</x:v>
      </x:c>
      <x:c r="H4" s="108"/>
      <x:c r="I4" s="109"/>
      <x:c r="J4" s="135" t="n">
        <x:f>MAX('01_Personas_2025'!$B$2:$B$11)/COUNTA('03_Inventario_2025'!$C$2:$C$189)</x:f>
        <x:v>0.6063829787234043</x:v>
      </x:c>
      <x:c r="K4" s="130"/>
      <x:c r="L4" s="131"/>
    </x:row>
    <x:row r="5" ht="48" customHeight="1">
      <x:c r="A5" s="66"/>
      <x:c r="B5" s="67"/>
      <x:c r="C5" s="68"/>
      <x:c r="D5" s="88"/>
      <x:c r="E5" s="89"/>
      <x:c r="F5" s="90"/>
      <x:c r="G5" s="110"/>
      <x:c r="H5" s="111"/>
      <x:c r="I5" s="112"/>
      <x:c r="J5" s="132"/>
      <x:c r="K5" s="133"/>
      <x:c r="L5" s="134"/>
    </x:row>
    <x:row r="7">
      <x:c r="A7" s="138" t="str">
        <x:v>Mediana creación→límite</x:v>
      </x:c>
      <x:c r="B7" s="138"/>
      <x:c r="C7" s="138"/>
      <x:c r="D7" s="142" t="str">
        <x:v>% sin etiqueta</x:v>
      </x:c>
      <x:c r="E7" s="142"/>
      <x:c r="F7" s="142"/>
      <x:c r="G7" s="146" t="str">
        <x:v>Sin cierre histórico</x:v>
      </x:c>
      <x:c r="H7" s="146"/>
      <x:c r="I7" s="146"/>
      <x:c r="J7" s="149" t="str">
        <x:v>Tareas consolidadas 2026</x:v>
      </x:c>
      <x:c r="K7" s="149"/>
      <x:c r="L7" s="149"/>
    </x:row>
    <x:row r="8" ht="48" customHeight="1">
      <x:c r="A8" s="139" t="n">
        <x:f>MEDIAN('03_Inventario_2025'!$Z$2:$Z$189)</x:f>
        <x:v>1.3763888888934162</x:v>
      </x:c>
      <x:c r="B8" s="86"/>
      <x:c r="C8" s="87"/>
      <x:c r="D8" s="143" t="n">
        <x:f>COUNTBLANK('03_Inventario_2025'!$K$2:$K$189)/COUNTA('03_Inventario_2025'!$C$2:$C$189)</x:f>
        <x:v>0.851063829787234</x:v>
      </x:c>
      <x:c r="E8" s="64"/>
      <x:c r="F8" s="65"/>
      <x:c r="G8" s="113" t="n">
        <x:f>COUNTIF('03_Inventario_2025'!$F$2:$F$189,"&lt;&gt;Completada")</x:f>
        <x:v>21</x:v>
      </x:c>
      <x:c r="H8" s="108"/>
      <x:c r="I8" s="109"/>
      <x:c r="J8" s="150" t="n">
        <x:f>COUNTA('04_Plan_2026'!$A$2:$A$74)</x:f>
        <x:v>73</x:v>
      </x:c>
      <x:c r="K8" s="130"/>
      <x:c r="L8" s="131"/>
    </x:row>
    <x:row r="9" ht="48" customHeight="1">
      <x:c r="A9" s="88"/>
      <x:c r="B9" s="89"/>
      <x:c r="C9" s="90"/>
      <x:c r="D9" s="66"/>
      <x:c r="E9" s="67"/>
      <x:c r="F9" s="68"/>
      <x:c r="G9" s="110"/>
      <x:c r="H9" s="111"/>
      <x:c r="I9" s="112"/>
      <x:c r="J9" s="132"/>
      <x:c r="K9" s="133"/>
      <x:c r="L9" s="134"/>
    </x:row>
    <x:row r="12">
      <x:c r="A12" s="152" t="str">
        <x:v>LECTURA DEL HISTÓRICO</x:v>
      </x:c>
      <x:c r="B12" s="152"/>
      <x:c r="C12" s="152"/>
      <x:c r="D12" s="152"/>
      <x:c r="E12" s="152"/>
      <x:c r="F12" s="152"/>
      <x:c r="G12" s="152" t="str">
        <x:v>CORRECCIÓN 2026</x:v>
      </x:c>
      <x:c r="H12" s="152"/>
      <x:c r="I12" s="152"/>
      <x:c r="J12" s="152"/>
      <x:c r="K12" s="152"/>
      <x:c r="L12" s="152"/>
    </x:row>
    <x:row r="13">
      <x:c r="A13" s="172" t="str">
        <x:v>El equipo sí produjo formatos valiosos: videos con hooks, programación descargable, cobertura, giras de medios, contenido de tradición, información de accesos y parqueaderos. El problema principal fue el sistema: todo nació en octubre, con microtareas, poca jerarquía y plazos de horas.</x:v>
      </x:c>
      <x:c r="B13" s="173"/>
      <x:c r="C13" s="173"/>
      <x:c r="D13" s="173"/>
      <x:c r="E13" s="173"/>
      <x:c r="F13" s="174"/>
      <x:c r="G13" s="200" t="str">
        <x:v>Las 188 tareas no se borran: cada una quedó mapeada a uno de 17 paquetes. La ejecución se ordena en 73 entregables con responsable, apoyo, aprobador, gate y evidencia. Ningún nombre del cartel 2026 se guarda en este repositorio público.</x:v>
      </x:c>
      <x:c r="H13" s="201"/>
      <x:c r="I13" s="201"/>
      <x:c r="J13" s="201"/>
      <x:c r="K13" s="201"/>
      <x:c r="L13" s="202"/>
    </x:row>
    <x:row r="14">
      <x:c r="A14" s="175"/>
      <x:c r="B14" s="176"/>
      <x:c r="C14" s="176"/>
      <x:c r="D14" s="176"/>
      <x:c r="E14" s="176"/>
      <x:c r="F14" s="177"/>
      <x:c r="G14" s="203"/>
      <x:c r="H14" s="204"/>
      <x:c r="I14" s="204"/>
      <x:c r="J14" s="204"/>
      <x:c r="K14" s="204"/>
      <x:c r="L14" s="205"/>
    </x:row>
    <x:row r="15">
      <x:c r="A15" s="175"/>
      <x:c r="B15" s="176"/>
      <x:c r="C15" s="176"/>
      <x:c r="D15" s="176"/>
      <x:c r="E15" s="176"/>
      <x:c r="F15" s="177"/>
      <x:c r="G15" s="203"/>
      <x:c r="H15" s="204"/>
      <x:c r="I15" s="204"/>
      <x:c r="J15" s="204"/>
      <x:c r="K15" s="204"/>
      <x:c r="L15" s="205"/>
    </x:row>
    <x:row r="16">
      <x:c r="A16" s="175"/>
      <x:c r="B16" s="176"/>
      <x:c r="C16" s="176"/>
      <x:c r="D16" s="176"/>
      <x:c r="E16" s="176"/>
      <x:c r="F16" s="177"/>
      <x:c r="G16" s="203"/>
      <x:c r="H16" s="204"/>
      <x:c r="I16" s="204"/>
      <x:c r="J16" s="204"/>
      <x:c r="K16" s="204"/>
      <x:c r="L16" s="205"/>
    </x:row>
    <x:row r="17">
      <x:c r="A17" s="175"/>
      <x:c r="B17" s="176"/>
      <x:c r="C17" s="176"/>
      <x:c r="D17" s="176"/>
      <x:c r="E17" s="176"/>
      <x:c r="F17" s="177"/>
      <x:c r="G17" s="203"/>
      <x:c r="H17" s="204"/>
      <x:c r="I17" s="204"/>
      <x:c r="J17" s="204"/>
      <x:c r="K17" s="204"/>
      <x:c r="L17" s="205"/>
    </x:row>
    <x:row r="18">
      <x:c r="A18" s="178"/>
      <x:c r="B18" s="179"/>
      <x:c r="C18" s="179"/>
      <x:c r="D18" s="179"/>
      <x:c r="E18" s="179"/>
      <x:c r="F18" s="180"/>
      <x:c r="G18" s="206"/>
      <x:c r="H18" s="207"/>
      <x:c r="I18" s="207"/>
      <x:c r="J18" s="207"/>
      <x:c r="K18" s="207"/>
      <x:c r="L18" s="208"/>
    </x:row>
    <x:row r="20">
      <x:c r="A20" s="152" t="str">
        <x:v>QUÉ SE RETOMA</x:v>
      </x:c>
      <x:c r="B20" s="152"/>
      <x:c r="C20" s="152"/>
      <x:c r="D20" s="152"/>
      <x:c r="E20" s="152"/>
      <x:c r="F20" s="152"/>
      <x:c r="G20" s="152" t="str">
        <x:v>QUÉ CAMBIA</x:v>
      </x:c>
      <x:c r="H20" s="152"/>
      <x:c r="I20" s="152"/>
      <x:c r="J20" s="152"/>
      <x:c r="K20" s="152"/>
      <x:c r="L20" s="152"/>
    </x:row>
    <x:row r="21">
      <x:c r="A21" s="172" t="str">
        <x:v>Narrativa de tradición; contenido real de feria y comercio; video vertical; utilidad operativa; programación por jornada; creadores con brief; PR regional; activaciones territoriales; mapas, accesos, transporte y parqueaderos verificados; cobertura en vivo con turnos.</x:v>
      </x:c>
      <x:c r="B21" s="173"/>
      <x:c r="C21" s="173"/>
      <x:c r="D21" s="173"/>
      <x:c r="E21" s="173"/>
      <x:c r="F21" s="174"/>
      <x:c r="G21" s="200" t="str">
        <x:v>No se repite el boleto dorado como mecánica central. No se decide por likes. No se simula sold out ni escasez. No se publica artista, precio, capacidad o servicio sin gate. Se incorpora lo que faltó: medición, reputación, resultados de expositores y retrospectiva.</x:v>
      </x:c>
      <x:c r="H21" s="201"/>
      <x:c r="I21" s="201"/>
      <x:c r="J21" s="201"/>
      <x:c r="K21" s="201"/>
      <x:c r="L21" s="202"/>
    </x:row>
    <x:row r="22">
      <x:c r="A22" s="175"/>
      <x:c r="B22" s="176"/>
      <x:c r="C22" s="176"/>
      <x:c r="D22" s="176"/>
      <x:c r="E22" s="176"/>
      <x:c r="F22" s="177"/>
      <x:c r="G22" s="203"/>
      <x:c r="H22" s="204"/>
      <x:c r="I22" s="204"/>
      <x:c r="J22" s="204"/>
      <x:c r="K22" s="204"/>
      <x:c r="L22" s="205"/>
    </x:row>
    <x:row r="23">
      <x:c r="A23" s="175"/>
      <x:c r="B23" s="176"/>
      <x:c r="C23" s="176"/>
      <x:c r="D23" s="176"/>
      <x:c r="E23" s="176"/>
      <x:c r="F23" s="177"/>
      <x:c r="G23" s="203"/>
      <x:c r="H23" s="204"/>
      <x:c r="I23" s="204"/>
      <x:c r="J23" s="204"/>
      <x:c r="K23" s="204"/>
      <x:c r="L23" s="205"/>
    </x:row>
    <x:row r="24">
      <x:c r="A24" s="175"/>
      <x:c r="B24" s="176"/>
      <x:c r="C24" s="176"/>
      <x:c r="D24" s="176"/>
      <x:c r="E24" s="176"/>
      <x:c r="F24" s="177"/>
      <x:c r="G24" s="203"/>
      <x:c r="H24" s="204"/>
      <x:c r="I24" s="204"/>
      <x:c r="J24" s="204"/>
      <x:c r="K24" s="204"/>
      <x:c r="L24" s="205"/>
    </x:row>
    <x:row r="25">
      <x:c r="A25" s="175"/>
      <x:c r="B25" s="176"/>
      <x:c r="C25" s="176"/>
      <x:c r="D25" s="176"/>
      <x:c r="E25" s="176"/>
      <x:c r="F25" s="177"/>
      <x:c r="G25" s="203"/>
      <x:c r="H25" s="204"/>
      <x:c r="I25" s="204"/>
      <x:c r="J25" s="204"/>
      <x:c r="K25" s="204"/>
      <x:c r="L25" s="205"/>
    </x:row>
    <x:row r="26">
      <x:c r="A26" s="175"/>
      <x:c r="B26" s="176"/>
      <x:c r="C26" s="176"/>
      <x:c r="D26" s="176"/>
      <x:c r="E26" s="176"/>
      <x:c r="F26" s="177"/>
      <x:c r="G26" s="203"/>
      <x:c r="H26" s="204"/>
      <x:c r="I26" s="204"/>
      <x:c r="J26" s="204"/>
      <x:c r="K26" s="204"/>
      <x:c r="L26" s="205"/>
    </x:row>
    <x:row r="27">
      <x:c r="A27" s="178"/>
      <x:c r="B27" s="179"/>
      <x:c r="C27" s="179"/>
      <x:c r="D27" s="179"/>
      <x:c r="E27" s="179"/>
      <x:c r="F27" s="180"/>
      <x:c r="G27" s="206"/>
      <x:c r="H27" s="207"/>
      <x:c r="I27" s="207"/>
      <x:c r="J27" s="207"/>
      <x:c r="K27" s="207"/>
      <x:c r="L27" s="208"/>
    </x:row>
    <x:row r="29">
      <x:c r="A29" s="210" t="str">
        <x:v>DECISIONES INMEDIATAS PARA QUE EL TABLERO FUNCIONE</x:v>
      </x:c>
      <x:c r="B29" s="210"/>
      <x:c r="C29" s="210"/>
      <x:c r="D29" s="210"/>
      <x:c r="E29" s="210"/>
      <x:c r="F29" s="210"/>
      <x:c r="G29" s="210"/>
      <x:c r="H29" s="210"/>
      <x:c r="I29" s="210"/>
      <x:c r="J29" s="210"/>
      <x:c r="K29" s="210"/>
      <x:c r="L29" s="210"/>
    </x:row>
    <x:row r="30">
      <x:c r="A30" s="230" t="str">
        <x:v>1) Ratificar fechas, horarios y RACI.  2) Asignar media buyer, analítica/tracking, community manager, entradas, expositores, patrocinadores y operación/servicio/tecnología.  3) Resolver los gates de venta y medición antes del 2 de septiembre.  4) Aprobar ES TRADICIÓN y el sistema visual.  5) Trasladar las 73 tareas a Bitrix con suplentes y evidencia; no copiar las 188 microtareas tal como estaban.</x:v>
      </x:c>
      <x:c r="B30" s="231"/>
      <x:c r="C30" s="231"/>
      <x:c r="D30" s="231"/>
      <x:c r="E30" s="231"/>
      <x:c r="F30" s="231"/>
      <x:c r="G30" s="231"/>
      <x:c r="H30" s="231"/>
      <x:c r="I30" s="231"/>
      <x:c r="J30" s="231"/>
      <x:c r="K30" s="231"/>
      <x:c r="L30" s="232"/>
    </x:row>
    <x:row r="31">
      <x:c r="A31" s="233"/>
      <x:c r="B31" s="234"/>
      <x:c r="C31" s="234"/>
      <x:c r="D31" s="234"/>
      <x:c r="E31" s="234"/>
      <x:c r="F31" s="234"/>
      <x:c r="G31" s="234"/>
      <x:c r="H31" s="234"/>
      <x:c r="I31" s="234"/>
      <x:c r="J31" s="234"/>
      <x:c r="K31" s="234"/>
      <x:c r="L31" s="235"/>
    </x:row>
    <x:row r="32">
      <x:c r="A32" s="233"/>
      <x:c r="B32" s="234"/>
      <x:c r="C32" s="234"/>
      <x:c r="D32" s="234"/>
      <x:c r="E32" s="234"/>
      <x:c r="F32" s="234"/>
      <x:c r="G32" s="234"/>
      <x:c r="H32" s="234"/>
      <x:c r="I32" s="234"/>
      <x:c r="J32" s="234"/>
      <x:c r="K32" s="234"/>
      <x:c r="L32" s="235"/>
    </x:row>
    <x:row r="33">
      <x:c r="A33" s="233"/>
      <x:c r="B33" s="234"/>
      <x:c r="C33" s="234"/>
      <x:c r="D33" s="234"/>
      <x:c r="E33" s="234"/>
      <x:c r="F33" s="234"/>
      <x:c r="G33" s="234"/>
      <x:c r="H33" s="234"/>
      <x:c r="I33" s="234"/>
      <x:c r="J33" s="234"/>
      <x:c r="K33" s="234"/>
      <x:c r="L33" s="235"/>
    </x:row>
    <x:row r="34">
      <x:c r="A34" s="233"/>
      <x:c r="B34" s="234"/>
      <x:c r="C34" s="234"/>
      <x:c r="D34" s="234"/>
      <x:c r="E34" s="234"/>
      <x:c r="F34" s="234"/>
      <x:c r="G34" s="234"/>
      <x:c r="H34" s="234"/>
      <x:c r="I34" s="234"/>
      <x:c r="J34" s="234"/>
      <x:c r="K34" s="234"/>
      <x:c r="L34" s="235"/>
    </x:row>
    <x:row r="35">
      <x:c r="A35" s="236"/>
      <x:c r="B35" s="237"/>
      <x:c r="C35" s="237"/>
      <x:c r="D35" s="237"/>
      <x:c r="E35" s="237"/>
      <x:c r="F35" s="237"/>
      <x:c r="G35" s="237"/>
      <x:c r="H35" s="237"/>
      <x:c r="I35" s="237"/>
      <x:c r="J35" s="237"/>
      <x:c r="K35" s="237"/>
      <x:c r="L35" s="238"/>
    </x:row>
    <x:row r="37">
      <x:c r="A37" s="239" t="str">
        <x:v>TRAZABILIDAD Y PRIVACIDAD</x:v>
      </x:c>
      <x:c r="B37" s="239"/>
      <x:c r="C37" s="239"/>
      <x:c r="D37" s="239"/>
      <x:c r="E37" s="239"/>
      <x:c r="F37" s="239"/>
      <x:c r="G37" s="239"/>
      <x:c r="H37" s="239"/>
      <x:c r="I37" s="239"/>
      <x:c r="J37" s="239"/>
      <x:c r="K37" s="239"/>
      <x:c r="L37" s="239"/>
    </x:row>
    <x:row r="38">
      <x:c r="A38" s="258" t="str">
        <x:v>Fuente: exporte Bitrix tasks_2026-08-26_06-37-51.xls, recibido el 26 de agosto de 2026. SHA-256 02288f0ebcbfe67d661755cb83bb09756c6dfef5f05537200537215b6ffaf2e7. Se conservaron las 188 tareas y se omitieron URL, correos y teléfonos en 7 filas. El archivo crudo no se versiona porque el repositorio es público. No se guardaron tokens, credenciales ni datos de cartel 2026 bajo embargo.</x:v>
      </x:c>
      <x:c r="B38" s="259"/>
      <x:c r="C38" s="259"/>
      <x:c r="D38" s="259"/>
      <x:c r="E38" s="259"/>
      <x:c r="F38" s="259"/>
      <x:c r="G38" s="259"/>
      <x:c r="H38" s="259"/>
      <x:c r="I38" s="259"/>
      <x:c r="J38" s="259"/>
      <x:c r="K38" s="259"/>
      <x:c r="L38" s="260"/>
    </x:row>
    <x:row r="39">
      <x:c r="A39" s="261"/>
      <x:c r="B39" s="262"/>
      <x:c r="C39" s="262"/>
      <x:c r="D39" s="262"/>
      <x:c r="E39" s="262"/>
      <x:c r="F39" s="262"/>
      <x:c r="G39" s="262"/>
      <x:c r="H39" s="262"/>
      <x:c r="I39" s="262"/>
      <x:c r="J39" s="262"/>
      <x:c r="K39" s="262"/>
      <x:c r="L39" s="263"/>
    </x:row>
    <x:row r="40">
      <x:c r="A40" s="261"/>
      <x:c r="B40" s="262"/>
      <x:c r="C40" s="262"/>
      <x:c r="D40" s="262"/>
      <x:c r="E40" s="262"/>
      <x:c r="F40" s="262"/>
      <x:c r="G40" s="262"/>
      <x:c r="H40" s="262"/>
      <x:c r="I40" s="262"/>
      <x:c r="J40" s="262"/>
      <x:c r="K40" s="262"/>
      <x:c r="L40" s="263"/>
    </x:row>
    <x:row r="41">
      <x:c r="A41" s="261"/>
      <x:c r="B41" s="262"/>
      <x:c r="C41" s="262"/>
      <x:c r="D41" s="262"/>
      <x:c r="E41" s="262"/>
      <x:c r="F41" s="262"/>
      <x:c r="G41" s="262"/>
      <x:c r="H41" s="262"/>
      <x:c r="I41" s="262"/>
      <x:c r="J41" s="262"/>
      <x:c r="K41" s="262"/>
      <x:c r="L41" s="263"/>
    </x:row>
    <x:row r="42">
      <x:c r="A42" s="264"/>
      <x:c r="B42" s="265"/>
      <x:c r="C42" s="265"/>
      <x:c r="D42" s="265"/>
      <x:c r="E42" s="265"/>
      <x:c r="F42" s="265"/>
      <x:c r="G42" s="265"/>
      <x:c r="H42" s="265"/>
      <x:c r="I42" s="265"/>
      <x:c r="J42" s="265"/>
      <x:c r="K42" s="265"/>
      <x:c r="L42" s="266"/>
    </x:row>
  </x:sheetData>
  <x:mergeCells>
    <x:mergeCell ref="A1:L1"/>
    <x:mergeCell ref="A2:L3"/>
    <x:mergeCell ref="A3:C3"/>
    <x:mergeCell ref="A4:C5"/>
    <x:mergeCell ref="D3:F3"/>
    <x:mergeCell ref="D4:F5"/>
    <x:mergeCell ref="G3:I3"/>
    <x:mergeCell ref="G4:I5"/>
    <x:mergeCell ref="J3:L3"/>
    <x:mergeCell ref="J4:L5"/>
    <x:mergeCell ref="A7:C7"/>
    <x:mergeCell ref="A8:C9"/>
    <x:mergeCell ref="D7:F7"/>
    <x:mergeCell ref="D8:F9"/>
    <x:mergeCell ref="G7:I7"/>
    <x:mergeCell ref="G8:I9"/>
    <x:mergeCell ref="J7:L7"/>
    <x:mergeCell ref="J8:L9"/>
    <x:mergeCell ref="A12:F12"/>
    <x:mergeCell ref="A13:F18"/>
    <x:mergeCell ref="G12:L12"/>
    <x:mergeCell ref="G13:L18"/>
    <x:mergeCell ref="A20:F20"/>
    <x:mergeCell ref="A21:F27"/>
    <x:mergeCell ref="G20:L20"/>
    <x:mergeCell ref="G21:L27"/>
    <x:mergeCell ref="A29:L29"/>
    <x:mergeCell ref="A30:L35"/>
    <x:mergeCell ref="A37:L37"/>
    <x:mergeCell ref="A38:L4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12" hidden="0" customWidth="1"/>
    <x:col min="3" max="3" width="15" hidden="0" customWidth="1"/>
    <x:col min="4" max="4" width="14" hidden="0" customWidth="1"/>
    <x:col min="5" max="5" width="14" hidden="0" customWidth="1"/>
    <x:col min="6" max="6" width="14" hidden="0" customWidth="1"/>
    <x:col min="7" max="7" width="14" hidden="0" customWidth="1"/>
    <x:col min="8" max="8" width="70" hidden="0" customWidth="1"/>
    <x:col min="9" max="9" width="62" hidden="0" customWidth="1"/>
  </x:cols>
  <x:sheetData>
    <x:row r="1" ht="34" customHeight="1">
      <x:c r="A1" s="32" t="str">
        <x:v>Responsable histórico</x:v>
      </x:c>
      <x:c r="B1" s="32" t="str">
        <x:v>Tareas</x:v>
      </x:c>
      <x:c r="C1" s="32" t="str">
        <x:v>% del total</x:v>
      </x:c>
      <x:c r="D1" s="32" t="str">
        <x:v>Completadas</x:v>
      </x:c>
      <x:c r="E1" s="32" t="str">
        <x:v>En progreso</x:v>
      </x:c>
      <x:c r="F1" s="32" t="str">
        <x:v>Pendientes</x:v>
      </x:c>
      <x:c r="G1" s="32" t="str">
        <x:v>% completado</x:v>
      </x:c>
      <x:c r="H1" s="32" t="str">
        <x:v>Principales paquetes</x:v>
      </x:c>
      <x:c r="I1" s="32" t="str">
        <x:v>Lectura 2026</x:v>
      </x:c>
    </x:row>
    <x:row r="2" ht="42" customHeight="1">
      <x:c r="A2" s="10" t="str">
        <x:v>Edwin Naula</x:v>
      </x:c>
      <x:c r="B2" s="10" t="n">
        <x:v>114</x:v>
      </x:c>
      <x:c r="C2" s="33" t="n">
        <x:v>0.6063829787234043</x:v>
      </x:c>
      <x:c r="D2" s="10" t="n">
        <x:v>109</x:v>
      </x:c>
      <x:c r="E2" s="10" t="n">
        <x:v>0</x:v>
      </x:c>
      <x:c r="F2" s="10" t="n">
        <x:v>5</x:v>
      </x:c>
      <x:c r="G2" s="33" t="n">
        <x:f>IF(B2=0,0,D2/B2)</x:f>
        <x:v>0.956140350877193</x:v>
      </x:c>
      <x:c r="H2" s="10" t="str">
        <x:v>Shows, artistas y programación bajo embargo (23); Tradición, concursos, rituales y cinco jornadas (12); Influencers, embajadores y referidos (11)</x:v>
      </x:c>
      <x:c r="I2" s="10" t="str">
        <x:v>Concentración crítica: dividir ejecución, aprobación y respaldo.</x:v>
      </x:c>
    </x:row>
    <x:row r="3" ht="42" customHeight="1">
      <x:c r="A3" s="10" t="str">
        <x:v>Stalin Flores</x:v>
      </x:c>
      <x:c r="B3" s="10" t="n">
        <x:v>24</x:v>
      </x:c>
      <x:c r="C3" s="33" t="n">
        <x:v>0.1276595744680851</x:v>
      </x:c>
      <x:c r="D3" s="10" t="n">
        <x:v>19</x:v>
      </x:c>
      <x:c r="E3" s="10" t="n">
        <x:v>0</x:v>
      </x:c>
      <x:c r="F3" s="10" t="n">
        <x:v>5</x:v>
      </x:c>
      <x:c r="G3" s="33" t="n">
        <x:f>IF(B3=0,0,D3/B3)</x:f>
        <x:v>0.7916666666666666</x:v>
      </x:c>
      <x:c r="H3" s="10" t="str">
        <x:v>Preventa, boletería, puntos y disponibilidad (5); Gobierno, planificación y aprobaciones (4); Auspiciantes: altas, activos, beneficios y evidencia (3)</x:v>
      </x:c>
      <x:c r="I3" s="10" t="str">
        <x:v>Validar vigencia 2026; asignar rol, capacidad y suplente antes de migrar tareas.</x:v>
      </x:c>
    </x:row>
    <x:row r="4" ht="42" customHeight="1">
      <x:c r="A4" s="10" t="str">
        <x:v>Isabela Orozco</x:v>
      </x:c>
      <x:c r="B4" s="10" t="n">
        <x:v>12</x:v>
      </x:c>
      <x:c r="C4" s="33" t="n">
        <x:v>0.06382978723404255</x:v>
      </x:c>
      <x:c r="D4" s="10" t="n">
        <x:v>11</x:v>
      </x:c>
      <x:c r="E4" s="10" t="n">
        <x:v>0</x:v>
      </x:c>
      <x:c r="F4" s="10" t="n">
        <x:v>1</x:v>
      </x:c>
      <x:c r="G4" s="33" t="n">
        <x:f>IF(B4=0,0,D4/B4)</x:f>
        <x:v>0.9166666666666666</x:v>
      </x:c>
      <x:c r="H4" s="10" t="str">
        <x:v>Prensa, radios, giras y vocerías (9); Gobierno, planificación y aprobaciones (2); Auspiciantes: altas, activos, beneficios y evidencia (1)</x:v>
      </x:c>
      <x:c r="I4" s="10" t="str">
        <x:v>Validar vigencia 2026; asignar rol, capacidad y suplente antes de migrar tareas.</x:v>
      </x:c>
    </x:row>
    <x:row r="5" ht="42" customHeight="1">
      <x:c r="A5" s="10" t="str">
        <x:v>Pam Villa</x:v>
      </x:c>
      <x:c r="B5" s="10" t="n">
        <x:v>12</x:v>
      </x:c>
      <x:c r="C5" s="33" t="n">
        <x:v>0.06382978723404255</x:v>
      </x:c>
      <x:c r="D5" s="10" t="n">
        <x:v>7</x:v>
      </x:c>
      <x:c r="E5" s="10" t="n">
        <x:v>4</x:v>
      </x:c>
      <x:c r="F5" s="10" t="n">
        <x:v>1</x:v>
      </x:c>
      <x:c r="G5" s="33" t="n">
        <x:f>IF(B5=0,0,D5/B5)</x:f>
        <x:v>0.5833333333333334</x:v>
      </x:c>
      <x:c r="H5" s="10" t="str">
        <x:v>Sistema editorial, redes y piezas recurrentes (3); Influencers, embajadores y referidos (2); Rodajes, entrevistas, streaming y entregables (1)</x:v>
      </x:c>
      <x:c r="I5" s="10" t="str">
        <x:v>Validar vigencia 2026; asignar rol, capacidad y suplente antes de migrar tareas.</x:v>
      </x:c>
    </x:row>
    <x:row r="6" ht="42" customHeight="1">
      <x:c r="A6" s="10" t="str">
        <x:v>Zeus Producciones</x:v>
      </x:c>
      <x:c r="B6" s="10" t="n">
        <x:v>8</x:v>
      </x:c>
      <x:c r="C6" s="33" t="n">
        <x:v>0.0425531914893617</x:v>
      </x:c>
      <x:c r="D6" s="10" t="n">
        <x:v>5</x:v>
      </x:c>
      <x:c r="E6" s="10" t="n">
        <x:v>1</x:v>
      </x:c>
      <x:c r="F6" s="10" t="n">
        <x:v>2</x:v>
      </x:c>
      <x:c r="G6" s="33" t="n">
        <x:f>IF(B6=0,0,D6/B6)</x:f>
        <x:v>0.625</x:v>
      </x:c>
      <x:c r="H6" s="10" t="str">
        <x:v>Rodajes, entrevistas, streaming y entregables (2); Credenciales, señalética, pantallas, espacios y materiales (2); Preventa, boletería, puntos y disponibilidad (2)</x:v>
      </x:c>
      <x:c r="I6" s="10" t="str">
        <x:v>Validar vigencia 2026; asignar rol, capacidad y suplente antes de migrar tareas.</x:v>
      </x:c>
    </x:row>
    <x:row r="7" ht="42" customHeight="1">
      <x:c r="A7" s="10" t="str">
        <x:v>Edwin Masa Sisa (identidad por confirmar)</x:v>
      </x:c>
      <x:c r="B7" s="10" t="n">
        <x:v>7</x:v>
      </x:c>
      <x:c r="C7" s="33" t="n">
        <x:v>0.03723404255319149</x:v>
      </x:c>
      <x:c r="D7" s="10" t="n">
        <x:v>5</x:v>
      </x:c>
      <x:c r="E7" s="10" t="n">
        <x:v>2</x:v>
      </x:c>
      <x:c r="F7" s="10" t="n">
        <x:v>0</x:v>
      </x:c>
      <x:c r="G7" s="33" t="n">
        <x:f>IF(B7=0,0,D7/B7)</x:f>
        <x:v>0.7142857142857143</x:v>
      </x:c>
      <x:c r="H7" s="10" t="str">
        <x:v>Calle, estadio, perifoneo y alianzas de distribución (3); Prensa, radios, giras y vocerías (2); Auspiciantes: altas, activos, beneficios y evidencia (1)</x:v>
      </x:c>
      <x:c r="I7" s="10" t="str">
        <x:v>Validar vigencia 2026; asignar rol, capacidad y suplente antes de migrar tareas.</x:v>
      </x:c>
    </x:row>
    <x:row r="8" ht="42" customHeight="1">
      <x:c r="A8" s="10" t="str">
        <x:v>Stalin Loaiza</x:v>
      </x:c>
      <x:c r="B8" s="10" t="n">
        <x:v>6</x:v>
      </x:c>
      <x:c r="C8" s="33" t="n">
        <x:v>0.031914893617021274</x:v>
      </x:c>
      <x:c r="D8" s="10" t="n">
        <x:v>6</x:v>
      </x:c>
      <x:c r="E8" s="10" t="n">
        <x:v>0</x:v>
      </x:c>
      <x:c r="F8" s="10" t="n">
        <x:v>0</x:v>
      </x:c>
      <x:c r="G8" s="33" t="n">
        <x:f>IF(B8=0,0,D8/B8)</x:f>
        <x:v>1</x:v>
      </x:c>
      <x:c r="H8" s="10" t="str">
        <x:v>Prensa, radios, giras y vocerías (2); Preventa, boletería, puntos y disponibilidad (2); Calle, estadio, perifoneo y alianzas de distribución (1)</x:v>
      </x:c>
      <x:c r="I8" s="10" t="str">
        <x:v>Validar vigencia 2026; asignar rol, capacidad y suplente antes de migrar tareas.</x:v>
      </x:c>
    </x:row>
    <x:row r="9" ht="42" customHeight="1">
      <x:c r="A9" s="10" t="str">
        <x:v>Sonia Estrella</x:v>
      </x:c>
      <x:c r="B9" s="10" t="n">
        <x:v>3</x:v>
      </x:c>
      <x:c r="C9" s="33" t="n">
        <x:v>0.015957446808510637</x:v>
      </x:c>
      <x:c r="D9" s="10" t="n">
        <x:v>3</x:v>
      </x:c>
      <x:c r="E9" s="10" t="n">
        <x:v>0</x:v>
      </x:c>
      <x:c r="F9" s="10" t="n">
        <x:v>0</x:v>
      </x:c>
      <x:c r="G9" s="33" t="n">
        <x:f>IF(B9=0,0,D9/B9)</x:f>
        <x:v>1</x:v>
      </x:c>
      <x:c r="H9" s="10" t="str">
        <x:v>Auspiciantes: altas, activos, beneficios y evidencia (3)</x:v>
      </x:c>
      <x:c r="I9" s="10" t="str">
        <x:v>Validar vigencia 2026; asignar rol, capacidad y suplente antes de migrar tareas.</x:v>
      </x:c>
    </x:row>
    <x:row r="10" ht="42" customHeight="1">
      <x:c r="A10" s="10" t="str">
        <x:v>Leo Sailema</x:v>
      </x:c>
      <x:c r="B10" s="10" t="n">
        <x:v>1</x:v>
      </x:c>
      <x:c r="C10" s="33" t="n">
        <x:v>0.005319148936170213</x:v>
      </x:c>
      <x:c r="D10" s="10" t="n">
        <x:v>1</x:v>
      </x:c>
      <x:c r="E10" s="10" t="n">
        <x:v>0</x:v>
      </x:c>
      <x:c r="F10" s="10" t="n">
        <x:v>0</x:v>
      </x:c>
      <x:c r="G10" s="33" t="n">
        <x:f>IF(B10=0,0,D10/B10)</x:f>
        <x:v>1</x:v>
      </x:c>
      <x:c r="H10" s="10" t="str">
        <x:v>Rodajes, entrevistas, streaming y entregables (1)</x:v>
      </x:c>
      <x:c r="I10" s="10" t="str">
        <x:v>Validar vigencia 2026; asignar rol, capacidad y suplente antes de migrar tareas.</x:v>
      </x:c>
    </x:row>
    <x:row r="11" ht="42" customHeight="1">
      <x:c r="A11" s="10" t="str">
        <x:v>Diego Flores (grafía por confirmar)</x:v>
      </x:c>
      <x:c r="B11" s="10" t="n">
        <x:v>1</x:v>
      </x:c>
      <x:c r="C11" s="33" t="n">
        <x:v>0.005319148936170213</x:v>
      </x:c>
      <x:c r="D11" s="10" t="n">
        <x:v>1</x:v>
      </x:c>
      <x:c r="E11" s="10" t="n">
        <x:v>0</x:v>
      </x:c>
      <x:c r="F11" s="10" t="n">
        <x:v>0</x:v>
      </x:c>
      <x:c r="G11" s="33" t="n">
        <x:f>IF(B11=0,0,D11/B11)</x:f>
        <x:v>1</x:v>
      </x:c>
      <x:c r="H11" s="10" t="str">
        <x:v>Rodajes, entrevistas, streaming y entregables (1)</x:v>
      </x:c>
      <x:c r="I11" s="10" t="str">
        <x:v>Validar vigencia 2026; asignar rol, capacidad y suplente antes de migrar tareas.</x:v>
      </x:c>
    </x:row>
  </x:sheetData>
  <x:pageMargins left="0.7" right="0.7" top="0.75" bottom="0.75" header="0.3" footer="0.3"/>
  <x:drawing xmlns:r="http://schemas.openxmlformats.org/officeDocument/2006/relationships" r:id="R0a2a5f9e54034b1d"/>
  <x:tableParts count="1">
    <x:tablePart xmlns:r="http://schemas.openxmlformats.org/officeDocument/2006/relationships" r:id="R8170dffa89fd4c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7" hidden="0" customWidth="1"/>
    <x:col min="3" max="3" width="43" hidden="0" customWidth="1"/>
    <x:col min="4" max="4" width="16" hidden="0" customWidth="1"/>
    <x:col min="5" max="5" width="16" hidden="0" customWidth="1"/>
    <x:col min="6" max="6" width="16" hidden="0" customWidth="1"/>
    <x:col min="7" max="7" width="16" hidden="0" customWidth="1"/>
    <x:col min="8" max="8" width="40" hidden="0" customWidth="1"/>
    <x:col min="9" max="9" width="40" hidden="0" customWidth="1"/>
    <x:col min="10" max="10" width="26" hidden="0" customWidth="1"/>
    <x:col min="11" max="11" width="62" hidden="0" customWidth="1"/>
    <x:col min="12" max="12" width="55" hidden="0" customWidth="1"/>
  </x:cols>
  <x:sheetData>
    <x:row r="1" ht="34" customHeight="1">
      <x:c r="A1" s="16" t="str">
        <x:v>Paquete ID</x:v>
      </x:c>
      <x:c r="B1" s="16" t="str">
        <x:v>Frente</x:v>
      </x:c>
      <x:c r="C1" s="16" t="str">
        <x:v>Paquete</x:v>
      </x:c>
      <x:c r="D1" s="16" t="str">
        <x:v>Tareas 2025</x:v>
      </x:c>
      <x:c r="E1" s="16" t="str">
        <x:v>Completadas 2025</x:v>
      </x:c>
      <x:c r="F1" s="16" t="str">
        <x:v>Sin cierre 2025</x:v>
      </x:c>
      <x:c r="G1" s="16" t="str">
        <x:v>Tareas plan 2026</x:v>
      </x:c>
      <x:c r="H1" s="16" t="str">
        <x:v>Dueño 2026 propuesto</x:v>
      </x:c>
      <x:c r="I1" s="16" t="str">
        <x:v>Aprobador 2026</x:v>
      </x:c>
      <x:c r="J1" s="16" t="str">
        <x:v>Fase</x:v>
      </x:c>
      <x:c r="K1" s="16" t="str">
        <x:v>Gate</x:v>
      </x:c>
      <x:c r="L1" s="16" t="str">
        <x:v>Lectura</x:v>
      </x:c>
    </x:row>
    <x:row r="2" ht="42" customHeight="1">
      <x:c r="A2" s="10" t="str">
        <x:v>F26-01-GOB</x:v>
      </x:c>
      <x:c r="B2" s="10" t="str">
        <x:v>Dirección y control</x:v>
      </x:c>
      <x:c r="C2" s="10" t="str">
        <x:v>Gobierno, planificación y aprobaciones</x:v>
      </x:c>
      <x:c r="D2" s="10" t="n">
        <x:f>COUNTIF('03_Inventario_2025'!$M$2:$M$189,A2)</x:f>
        <x:v>8</x:v>
      </x:c>
      <x:c r="E2" s="10" t="n">
        <x:f>COUNTIFS('03_Inventario_2025'!$M$2:$M$189,A2,'03_Inventario_2025'!$F$2:$F$189,"Completada")</x:f>
        <x:v>7</x:v>
      </x:c>
      <x:c r="F2" s="10" t="n">
        <x:f>D2-E2</x:f>
        <x:v>1</x:v>
      </x:c>
      <x:c r="G2" s="10" t="n">
        <x:f>COUNTIF('04_Plan_2026'!$B$2:$B$74,A2)</x:f>
        <x:v>5</x:v>
      </x:c>
      <x:c r="H2" s="10" t="str">
        <x:v>Coordinación general de marketing — Edwin Masabanda</x:v>
      </x:c>
      <x:c r="I2" s="10" t="str">
        <x:v>Dirección de marketing — Andrés Naranjo</x:v>
      </x:c>
      <x:c r="J2" s="10" t="str">
        <x:v>Preparación interna</x:v>
      </x:c>
      <x:c r="K2" s="10" t="str">
        <x:v>RACI ratificado, fecha confirmada y fuente única vigente</x:v>
      </x:c>
      <x:c r="L2" s="10" t="str">
        <x:v>Consolidar microtareas históricas en entregables con gate y evidencia.</x:v>
      </x:c>
    </x:row>
    <x:row r="3" ht="42" customHeight="1">
      <x:c r="A3" s="10" t="str">
        <x:v>F26-02-MARCA</x:v>
      </x:c>
      <x:c r="B3" s="10" t="str">
        <x:v>Marca y creatividad</x:v>
      </x:c>
      <x:c r="C3" s="10" t="str">
        <x:v>Sistema visual y adaptaciones maestras</x:v>
      </x:c>
      <x:c r="D3" s="10" t="n">
        <x:f>COUNTIF('03_Inventario_2025'!$M$2:$M$189,A3)</x:f>
        <x:v>9</x:v>
      </x:c>
      <x:c r="E3" s="10" t="n">
        <x:f>COUNTIFS('03_Inventario_2025'!$M$2:$M$189,A3,'03_Inventario_2025'!$F$2:$F$189,"Completada")</x:f>
        <x:v>9</x:v>
      </x:c>
      <x:c r="F3" s="10" t="n">
        <x:f>D3-E3</x:f>
        <x:v>0</x:v>
      </x:c>
      <x:c r="G3" s="10" t="n">
        <x:f>COUNTIF('04_Plan_2026'!$B$2:$B$74,A3)</x:f>
        <x:v>4</x:v>
      </x:c>
      <x:c r="H3" s="10" t="str">
        <x:v>Coordinación diseño/audiovisual — Andrés Naula</x:v>
      </x:c>
      <x:c r="I3" s="10" t="str">
        <x:v>Dirección de marketing + aprobación cultural/marca</x:v>
      </x:c>
      <x:c r="J3" s="10" t="str">
        <x:v>Preparación interna</x:v>
      </x:c>
      <x:c r="K3" s="10" t="str">
        <x:v>Plataforma ES TRADICIÓN y key visual aprobados</x:v>
      </x:c>
      <x:c r="L3" s="10" t="str">
        <x:v>Consolidar microtareas históricas en entregables con gate y evidencia.</x:v>
      </x:c>
    </x:row>
    <x:row r="4" ht="42" customHeight="1">
      <x:c r="A4" s="10" t="str">
        <x:v>F26-03-PAT</x:v>
      </x:c>
      <x:c r="B4" s="10" t="str">
        <x:v>Patrocinios y aliados</x:v>
      </x:c>
      <x:c r="C4" s="10" t="str">
        <x:v>Auspiciantes: altas, activos, beneficios y evidencia</x:v>
      </x:c>
      <x:c r="D4" s="10" t="n">
        <x:f>COUNTIF('03_Inventario_2025'!$M$2:$M$189,A4)</x:f>
        <x:v>15</x:v>
      </x:c>
      <x:c r="E4" s="10" t="n">
        <x:f>COUNTIFS('03_Inventario_2025'!$M$2:$M$189,A4,'03_Inventario_2025'!$F$2:$F$189,"Completada")</x:f>
        <x:v>14</x:v>
      </x:c>
      <x:c r="F4" s="10" t="n">
        <x:f>D4-E4</x:f>
        <x:v>1</x:v>
      </x:c>
      <x:c r="G4" s="10" t="n">
        <x:f>COUNTIF('04_Plan_2026'!$B$2:$B$74,A4)</x:f>
        <x:v>3</x:v>
      </x:c>
      <x:c r="H4" s="10" t="str">
        <x:v>Dueño de patrocinadores — por asignar</x:v>
      </x:c>
      <x:c r="I4" s="10" t="str">
        <x:v>Dirección + finanzas/comercial</x:v>
      </x:c>
      <x:c r="J4" s="10" t="str">
        <x:v>Revelación y preventa</x:v>
      </x:c>
      <x:c r="K4" s="10" t="str">
        <x:v>Contrato, inventario de beneficios y master de logos conciliados</x:v>
      </x:c>
      <x:c r="L4" s="10" t="str">
        <x:v>Consolidar microtareas históricas en entregables con gate y evidencia.</x:v>
      </x:c>
    </x:row>
    <x:row r="5" ht="42" customHeight="1">
      <x:c r="A5" s="10" t="str">
        <x:v>F26-04-EXP</x:v>
      </x:c>
      <x:c r="B5" s="10" t="str">
        <x:v>Expositores y comercialización</x:v>
      </x:c>
      <x:c r="C5" s="10" t="str">
        <x:v>Stands, expositores y narrativa comercial</x:v>
      </x:c>
      <x:c r="D5" s="10" t="n">
        <x:f>COUNTIF('03_Inventario_2025'!$M$2:$M$189,A5)</x:f>
        <x:v>9</x:v>
      </x:c>
      <x:c r="E5" s="10" t="n">
        <x:f>COUNTIFS('03_Inventario_2025'!$M$2:$M$189,A5,'03_Inventario_2025'!$F$2:$F$189,"Completada")</x:f>
        <x:v>9</x:v>
      </x:c>
      <x:c r="F5" s="10" t="n">
        <x:f>D5-E5</x:f>
        <x:v>0</x:v>
      </x:c>
      <x:c r="G5" s="10" t="n">
        <x:f>COUNTIF('04_Plan_2026'!$B$2:$B$74,A5)</x:f>
        <x:v>4</x:v>
      </x:c>
      <x:c r="H5" s="10" t="str">
        <x:v>Dueño de expositores — por asignar</x:v>
      </x:c>
      <x:c r="I5" s="10" t="str">
        <x:v>Dirección/comercial + operación</x:v>
      </x:c>
      <x:c r="J5" s="10" t="str">
        <x:v>Revelación y preventa</x:v>
      </x:c>
      <x:c r="K5" s="10" t="str">
        <x:v>Inventario, precios, políticas y capacidad aprobados</x:v>
      </x:c>
      <x:c r="L5" s="10" t="str">
        <x:v>Consolidar microtareas históricas en entregables con gate y evidencia.</x:v>
      </x:c>
    </x:row>
    <x:row r="6" ht="42" customHeight="1">
      <x:c r="A6" s="10" t="str">
        <x:v>F26-05-ENT</x:v>
      </x:c>
      <x:c r="B6" s="10" t="str">
        <x:v>Entradas y conversión</x:v>
      </x:c>
      <x:c r="C6" s="10" t="str">
        <x:v>Preventa, boletería, puntos y disponibilidad</x:v>
      </x:c>
      <x:c r="D6" s="10" t="n">
        <x:f>COUNTIF('03_Inventario_2025'!$M$2:$M$189,A6)</x:f>
        <x:v>15</x:v>
      </x:c>
      <x:c r="E6" s="10" t="n">
        <x:f>COUNTIFS('03_Inventario_2025'!$M$2:$M$189,A6,'03_Inventario_2025'!$F$2:$F$189,"Completada")</x:f>
        <x:v>13</x:v>
      </x:c>
      <x:c r="F6" s="10" t="n">
        <x:f>D6-E6</x:f>
        <x:v>2</x:v>
      </x:c>
      <x:c r="G6" s="10" t="n">
        <x:f>COUNTIF('04_Plan_2026'!$B$2:$B$74,A6)</x:f>
        <x:v>5</x:v>
      </x:c>
      <x:c r="H6" s="10" t="str">
        <x:v>Dueño de entradas/comercial — por asignar</x:v>
      </x:c>
      <x:c r="I6" s="10" t="str">
        <x:v>Dirección + finanzas + operación</x:v>
      </x:c>
      <x:c r="J6" s="10" t="str">
        <x:v>Revelación y preventa</x:v>
      </x:c>
      <x:c r="K6" s="10" t="str">
        <x:v>Oferta, precios, aforo, términos, destino seguro y compra de prueba</x:v>
      </x:c>
      <x:c r="L6" s="10" t="str">
        <x:v>Consolidar microtareas históricas en entregables con gate y evidencia.</x:v>
      </x:c>
    </x:row>
    <x:row r="7" ht="42" customHeight="1">
      <x:c r="A7" s="10" t="str">
        <x:v>F26-06-CONT</x:v>
      </x:c>
      <x:c r="B7" s="10" t="str">
        <x:v>Marketing y comunicación</x:v>
      </x:c>
      <x:c r="C7" s="10" t="str">
        <x:v>Sistema editorial, redes y piezas recurrentes</x:v>
      </x:c>
      <x:c r="D7" s="10" t="n">
        <x:f>COUNTIF('03_Inventario_2025'!$M$2:$M$189,A7)</x:f>
        <x:v>14</x:v>
      </x:c>
      <x:c r="E7" s="10" t="n">
        <x:f>COUNTIFS('03_Inventario_2025'!$M$2:$M$189,A7,'03_Inventario_2025'!$F$2:$F$189,"Completada")</x:f>
        <x:v>10</x:v>
      </x:c>
      <x:c r="F7" s="10" t="n">
        <x:f>D7-E7</x:f>
        <x:v>4</x:v>
      </x:c>
      <x:c r="G7" s="10" t="n">
        <x:f>COUNTIF('04_Plan_2026'!$B$2:$B$74,A7)</x:f>
        <x:v>5</x:v>
      </x:c>
      <x:c r="H7" s="10" t="str">
        <x:v>Coordinación comunicación — Andrés (apellido por confirmar)</x:v>
      </x:c>
      <x:c r="I7" s="10" t="str">
        <x:v>Dirección de marketing — Andrés Naranjo</x:v>
      </x:c>
      <x:c r="J7" s="10" t="str">
        <x:v>Expectativa y conversión</x:v>
      </x:c>
      <x:c r="K7" s="10" t="str">
        <x:v>Brief, fuente vigente, CTA verificable y QA antes de publicar</x:v>
      </x:c>
      <x:c r="L7" s="10" t="str">
        <x:v>Consolidar microtareas históricas en entregables con gate y evidencia.</x:v>
      </x:c>
    </x:row>
    <x:row r="8" ht="42" customHeight="1">
      <x:c r="A8" s="10" t="str">
        <x:v>F26-07-SHOW</x:v>
      </x:c>
      <x:c r="B8" s="10" t="str">
        <x:v>Programación y marketing</x:v>
      </x:c>
      <x:c r="C8" s="10" t="str">
        <x:v>Shows, artistas y programación bajo embargo</x:v>
      </x:c>
      <x:c r="D8" s="10" t="n">
        <x:f>COUNTIF('03_Inventario_2025'!$M$2:$M$189,A8)</x:f>
        <x:v>24</x:v>
      </x:c>
      <x:c r="E8" s="10" t="n">
        <x:f>COUNTIFS('03_Inventario_2025'!$M$2:$M$189,A8,'03_Inventario_2025'!$F$2:$F$189,"Completada")</x:f>
        <x:v>22</x:v>
      </x:c>
      <x:c r="F8" s="10" t="n">
        <x:f>D8-E8</x:f>
        <x:v>2</x:v>
      </x:c>
      <x:c r="G8" s="10" t="n">
        <x:f>COUNTIF('04_Plan_2026'!$B$2:$B$74,A8)</x:f>
        <x:v>4</x:v>
      </x:c>
      <x:c r="H8" s="10" t="str">
        <x:v>Programación + coordinación comunicación</x:v>
      </x:c>
      <x:c r="I8" s="10" t="str">
        <x:v>Dirección + programación + derechos</x:v>
      </x:c>
      <x:c r="J8" s="10" t="str">
        <x:v>Revelación y conversión</x:v>
      </x:c>
      <x:c r="K8" s="10" t="str">
        <x:v>Contrato, grafía, día, horario, derechos, embargo y oferta confirmados</x:v>
      </x:c>
      <x:c r="L8" s="10" t="str">
        <x:v>Consolidar microtareas históricas en entregables con gate y evidencia.</x:v>
      </x:c>
    </x:row>
    <x:row r="9" ht="42" customHeight="1">
      <x:c r="A9" s="10" t="str">
        <x:v>F26-08-TRAD</x:v>
      </x:c>
      <x:c r="B9" s="10" t="str">
        <x:v>Experiencia y cultura</x:v>
      </x:c>
      <x:c r="C9" s="10" t="str">
        <x:v>Tradición, concursos, rituales y cinco jornadas</x:v>
      </x:c>
      <x:c r="D9" s="10" t="n">
        <x:f>COUNTIF('03_Inventario_2025'!$M$2:$M$189,A9)</x:f>
        <x:v>14</x:v>
      </x:c>
      <x:c r="E9" s="10" t="n">
        <x:f>COUNTIFS('03_Inventario_2025'!$M$2:$M$189,A9,'03_Inventario_2025'!$F$2:$F$189,"Completada")</x:f>
        <x:v>14</x:v>
      </x:c>
      <x:c r="F9" s="10" t="n">
        <x:f>D9-E9</x:f>
        <x:v>0</x:v>
      </x:c>
      <x:c r="G9" s="10" t="n">
        <x:f>COUNTIF('04_Plan_2026'!$B$2:$B$74,A9)</x:f>
        <x:v>6</x:v>
      </x:c>
      <x:c r="H9" s="10" t="str">
        <x:v>Experiencia + aprobación cultural — por asignar</x:v>
      </x:c>
      <x:c r="I9" s="10" t="str">
        <x:v>Dirección + comunidad/cultura + operación</x:v>
      </x:c>
      <x:c r="J9" s="10" t="str">
        <x:v>Expectativa y experiencia</x:v>
      </x:c>
      <x:c r="K9" s="10" t="str">
        <x:v>Validación cultural, reglas, capacidad y operación documentadas</x:v>
      </x:c>
      <x:c r="L9" s="10" t="str">
        <x:v>Consolidar microtareas históricas en entregables con gate y evidencia.</x:v>
      </x:c>
    </x:row>
    <x:row r="10" ht="42" customHeight="1">
      <x:c r="A10" s="10" t="str">
        <x:v>F26-09-CREA</x:v>
      </x:c>
      <x:c r="B10" s="10" t="str">
        <x:v>Creadores y comunidad</x:v>
      </x:c>
      <x:c r="C10" s="10" t="str">
        <x:v>Influencers, embajadores y referidos</x:v>
      </x:c>
      <x:c r="D10" s="10" t="n">
        <x:f>COUNTIF('03_Inventario_2025'!$M$2:$M$189,A10)</x:f>
        <x:v>15</x:v>
      </x:c>
      <x:c r="E10" s="10" t="n">
        <x:f>COUNTIFS('03_Inventario_2025'!$M$2:$M$189,A10,'03_Inventario_2025'!$F$2:$F$189,"Completada")</x:f>
        <x:v>15</x:v>
      </x:c>
      <x:c r="F10" s="10" t="n">
        <x:f>D10-E10</x:f>
        <x:v>0</x:v>
      </x:c>
      <x:c r="G10" s="10" t="n">
        <x:f>COUNTIF('04_Plan_2026'!$B$2:$B$74,A10)</x:f>
        <x:v>4</x:v>
      </x:c>
      <x:c r="H10" s="10" t="str">
        <x:v>Coordinación comunicación + relaciones públicas</x:v>
      </x:c>
      <x:c r="I10" s="10" t="str">
        <x:v>Dirección de marketing + legal/finanzas cuando aplique</x:v>
      </x:c>
      <x:c r="J10" s="10" t="str">
        <x:v>Expectativa y conversión</x:v>
      </x:c>
      <x:c r="K10" s="10" t="str">
        <x:v>Brief, derechos, selección, compensación fija y evidencia verificable</x:v>
      </x:c>
      <x:c r="L10" s="10" t="str">
        <x:v>Consolidar microtareas históricas en entregables con gate y evidencia.</x:v>
      </x:c>
    </x:row>
    <x:row r="11" ht="42" customHeight="1">
      <x:c r="A11" s="10" t="str">
        <x:v>F26-10-PR</x:v>
      </x:c>
      <x:c r="B11" s="10" t="str">
        <x:v>Relaciones públicas</x:v>
      </x:c>
      <x:c r="C11" s="10" t="str">
        <x:v>Prensa, radios, giras y vocerías</x:v>
      </x:c>
      <x:c r="D11" s="10" t="n">
        <x:f>COUNTIF('03_Inventario_2025'!$M$2:$M$189,A11)</x:f>
        <x:v>20</x:v>
      </x:c>
      <x:c r="E11" s="10" t="n">
        <x:f>COUNTIFS('03_Inventario_2025'!$M$2:$M$189,A11,'03_Inventario_2025'!$F$2:$F$189,"Completada")</x:f>
        <x:v>19</x:v>
      </x:c>
      <x:c r="F11" s="10" t="n">
        <x:f>D11-E11</x:f>
        <x:v>1</x:v>
      </x:c>
      <x:c r="G11" s="10" t="n">
        <x:f>COUNTIF('04_Plan_2026'!$B$2:$B$74,A11)</x:f>
        <x:v>3</x:v>
      </x:c>
      <x:c r="H11" s="10" t="str">
        <x:v>Relaciones públicas — Are Morales</x:v>
      </x:c>
      <x:c r="I11" s="10" t="str">
        <x:v>Dirección + vocero autorizado</x:v>
      </x:c>
      <x:c r="J11" s="10" t="str">
        <x:v>Revelación y conversión</x:v>
      </x:c>
      <x:c r="K11" s="10" t="str">
        <x:v>Mensajes, agenda, vocero, ficha factual y monitoreo aprobados</x:v>
      </x:c>
      <x:c r="L11" s="10" t="str">
        <x:v>Consolidar microtareas históricas en entregables con gate y evidencia.</x:v>
      </x:c>
    </x:row>
    <x:row r="12" ht="42" customHeight="1">
      <x:c r="A12" s="10" t="str">
        <x:v>F26-11-ACT</x:v>
      </x:c>
      <x:c r="B12" s="10" t="str">
        <x:v>Activaciones territoriales</x:v>
      </x:c>
      <x:c r="C12" s="10" t="str">
        <x:v>Calle, estadio, perifoneo y alianzas de distribución</x:v>
      </x:c>
      <x:c r="D12" s="10" t="n">
        <x:f>COUNTIF('03_Inventario_2025'!$M$2:$M$189,A12)</x:f>
        <x:v>10</x:v>
      </x:c>
      <x:c r="E12" s="10" t="n">
        <x:f>COUNTIFS('03_Inventario_2025'!$M$2:$M$189,A12,'03_Inventario_2025'!$F$2:$F$189,"Completada")</x:f>
        <x:v>9</x:v>
      </x:c>
      <x:c r="F12" s="10" t="n">
        <x:f>D12-E12</x:f>
        <x:v>1</x:v>
      </x:c>
      <x:c r="G12" s="10" t="n">
        <x:f>COUNTIF('04_Plan_2026'!$B$2:$B$74,A12)</x:f>
        <x:v>3</x:v>
      </x:c>
      <x:c r="H12" s="10" t="str">
        <x:v>Producción — Iván (apellido por confirmar) + comunicación</x:v>
      </x:c>
      <x:c r="I12" s="10" t="str">
        <x:v>Coordinación general + operación/seguridad</x:v>
      </x:c>
      <x:c r="J12" s="10" t="str">
        <x:v>Conversión</x:v>
      </x:c>
      <x:c r="K12" s="10" t="str">
        <x:v>Permisos, ruta, seguridad, materiales y medición definidos</x:v>
      </x:c>
      <x:c r="L12" s="10" t="str">
        <x:v>Consolidar microtareas históricas en entregables con gate y evidencia.</x:v>
      </x:c>
    </x:row>
    <x:row r="13" ht="42" customHeight="1">
      <x:c r="A13" s="10" t="str">
        <x:v>F26-12-AV</x:v>
      </x:c>
      <x:c r="B13" s="10" t="str">
        <x:v>Producción audiovisual</x:v>
      </x:c>
      <x:c r="C13" s="10" t="str">
        <x:v>Rodajes, entrevistas, streaming y entregables</x:v>
      </x:c>
      <x:c r="D13" s="10" t="n">
        <x:f>COUNTIF('03_Inventario_2025'!$M$2:$M$189,A13)</x:f>
        <x:v>12</x:v>
      </x:c>
      <x:c r="E13" s="10" t="n">
        <x:f>COUNTIFS('03_Inventario_2025'!$M$2:$M$189,A13,'03_Inventario_2025'!$F$2:$F$189,"Completada")</x:f>
        <x:v>12</x:v>
      </x:c>
      <x:c r="F13" s="10" t="n">
        <x:f>D13-E13</x:f>
        <x:v>0</x:v>
      </x:c>
      <x:c r="G13" s="10" t="n">
        <x:f>COUNTIF('04_Plan_2026'!$B$2:$B$74,A13)</x:f>
        <x:v>4</x:v>
      </x:c>
      <x:c r="H13" s="10" t="str">
        <x:v>Coordinación diseño/audiovisual — Andrés Naula</x:v>
      </x:c>
      <x:c r="I13" s="10" t="str">
        <x:v>Coordinación general + dirección de marketing</x:v>
      </x:c>
      <x:c r="J13" s="10" t="str">
        <x:v>Expectativa, conversión y vivo</x:v>
      </x:c>
      <x:c r="K13" s="10" t="str">
        <x:v>Guion, derechos, agenda, scouting, equipo y plan técnico aprobados</x:v>
      </x:c>
      <x:c r="L13" s="10" t="str">
        <x:v>Consolidar microtareas históricas en entregables con gate y evidencia.</x:v>
      </x:c>
    </x:row>
    <x:row r="14" ht="42" customHeight="1">
      <x:c r="A14" s="10" t="str">
        <x:v>F26-13-SERV</x:v>
      </x:c>
      <x:c r="B14" s="10" t="str">
        <x:v>Servicio, movilidad e información</x:v>
      </x:c>
      <x:c r="C14" s="10" t="str">
        <x:v>Mapa, guía móvil, accesos, parqueaderos, transporte y FAQ</x:v>
      </x:c>
      <x:c r="D14" s="10" t="n">
        <x:f>COUNTIF('03_Inventario_2025'!$M$2:$M$189,A14)</x:f>
        <x:v>6</x:v>
      </x:c>
      <x:c r="E14" s="10" t="n">
        <x:f>COUNTIFS('03_Inventario_2025'!$M$2:$M$189,A14,'03_Inventario_2025'!$F$2:$F$189,"Completada")</x:f>
        <x:v>5</x:v>
      </x:c>
      <x:c r="F14" s="10" t="n">
        <x:f>D14-E14</x:f>
        <x:v>1</x:v>
      </x:c>
      <x:c r="G14" s="10" t="n">
        <x:f>COUNTIF('04_Plan_2026'!$B$2:$B$74,A14)</x:f>
        <x:v>5</x:v>
      </x:c>
      <x:c r="H14" s="10" t="str">
        <x:v>Operación/servicio + tecnología — por asignar</x:v>
      </x:c>
      <x:c r="I14" s="10" t="str">
        <x:v>Operación + seguridad + dirección</x:v>
      </x:c>
      <x:c r="J14" s="10" t="str">
        <x:v>Conversión y vivo</x:v>
      </x:c>
      <x:c r="K14" s="10" t="str">
        <x:v>Plano, capacidades, rutas, políticas y responsables validados</x:v>
      </x:c>
      <x:c r="L14" s="10" t="str">
        <x:v>Consolidar microtareas históricas en entregables con gate y evidencia.</x:v>
      </x:c>
    </x:row>
    <x:row r="15" ht="42" customHeight="1">
      <x:c r="A15" s="10" t="str">
        <x:v>F26-14-OPS</x:v>
      </x:c>
      <x:c r="B15" s="10" t="str">
        <x:v>Operación en sitio</x:v>
      </x:c>
      <x:c r="C15" s="10" t="str">
        <x:v>Credenciales, señalética, pantallas, espacios y materiales</x:v>
      </x:c>
      <x:c r="D15" s="10" t="n">
        <x:f>COUNTIF('03_Inventario_2025'!$M$2:$M$189,A15)</x:f>
        <x:v>12</x:v>
      </x:c>
      <x:c r="E15" s="10" t="n">
        <x:f>COUNTIFS('03_Inventario_2025'!$M$2:$M$189,A15,'03_Inventario_2025'!$F$2:$F$189,"Completada")</x:f>
        <x:v>6</x:v>
      </x:c>
      <x:c r="F15" s="10" t="n">
        <x:f>D15-E15</x:f>
        <x:v>6</x:v>
      </x:c>
      <x:c r="G15" s="10" t="n">
        <x:f>COUNTIF('04_Plan_2026'!$B$2:$B$74,A15)</x:f>
        <x:v>4</x:v>
      </x:c>
      <x:c r="H15" s="10" t="str">
        <x:v>Producción — Iván (apellido por confirmar) + Leo Sailema</x:v>
      </x:c>
      <x:c r="I15" s="10" t="str">
        <x:v>Operación/seguridad + coordinación general</x:v>
      </x:c>
      <x:c r="J15" s="10" t="str">
        <x:v>Preparación final y vivo</x:v>
      </x:c>
      <x:c r="K15" s="10" t="str">
        <x:v>Plano final, inventario, medidas, responsables y prueba de montaje</x:v>
      </x:c>
      <x:c r="L15" s="10" t="str">
        <x:v>Consolidar microtareas históricas en entregables con gate y evidencia.</x:v>
      </x:c>
    </x:row>
    <x:row r="16" ht="42" customHeight="1">
      <x:c r="A16" s="10" t="str">
        <x:v>F26-15-PAID</x:v>
      </x:c>
      <x:c r="B16" s="10" t="str">
        <x:v>Pauta y medición</x:v>
      </x:c>
      <x:c r="C16" s="10" t="str">
        <x:v>Pauta social, tracking, audiencias y optimización</x:v>
      </x:c>
      <x:c r="D16" s="10" t="n">
        <x:f>COUNTIF('03_Inventario_2025'!$M$2:$M$189,A16)</x:f>
        <x:v>3</x:v>
      </x:c>
      <x:c r="E16" s="10" t="n">
        <x:f>COUNTIFS('03_Inventario_2025'!$M$2:$M$189,A16,'03_Inventario_2025'!$F$2:$F$189,"Completada")</x:f>
        <x:v>3</x:v>
      </x:c>
      <x:c r="F16" s="10" t="n">
        <x:f>D16-E16</x:f>
        <x:v>0</x:v>
      </x:c>
      <x:c r="G16" s="10" t="n">
        <x:f>COUNTIF('04_Plan_2026'!$B$2:$B$74,A16)</x:f>
        <x:v>5</x:v>
      </x:c>
      <x:c r="H16" s="10" t="str">
        <x:v>Media buyer — vacante crítica</x:v>
      </x:c>
      <x:c r="I16" s="10" t="str">
        <x:v>Dirección de marketing + finanzas</x:v>
      </x:c>
      <x:c r="J16" s="10" t="str">
        <x:v>Expectativa a conversión</x:v>
      </x:c>
      <x:c r="K16" s="10" t="str">
        <x:v>Destino seguro, eventos medidos, UTMs, presupuesto y compra de prueba</x:v>
      </x:c>
      <x:c r="L16" s="10" t="str">
        <x:v>Consolidar microtareas históricas en entregables con gate y evidencia.</x:v>
      </x:c>
    </x:row>
    <x:row r="17" ht="42" customHeight="1">
      <x:c r="A17" s="10" t="str">
        <x:v>F26-16-LIVE</x:v>
      </x:c>
      <x:c r="B17" s="10" t="str">
        <x:v>Comando en vivo</x:v>
      </x:c>
      <x:c r="C17" s="10" t="str">
        <x:v>Cobertura diaria, servicio y cambios de programación</x:v>
      </x:c>
      <x:c r="D17" s="10" t="n">
        <x:f>COUNTIF('03_Inventario_2025'!$M$2:$M$189,A17)</x:f>
        <x:v>2</x:v>
      </x:c>
      <x:c r="E17" s="10" t="n">
        <x:f>COUNTIFS('03_Inventario_2025'!$M$2:$M$189,A17,'03_Inventario_2025'!$F$2:$F$189,"Completada")</x:f>
        <x:v>0</x:v>
      </x:c>
      <x:c r="F17" s="10" t="n">
        <x:f>D17-E17</x:f>
        <x:v>2</x:v>
      </x:c>
      <x:c r="G17" s="10" t="n">
        <x:f>COUNTIF('04_Plan_2026'!$B$2:$B$74,A17)</x:f>
        <x:v>4</x:v>
      </x:c>
      <x:c r="H17" s="10" t="str">
        <x:v>Coordinación comunicación + community manager — vacante</x:v>
      </x:c>
      <x:c r="I17" s="10" t="str">
        <x:v>Coordinación general + operación</x:v>
      </x:c>
      <x:c r="J17" s="10" t="str">
        <x:v>29 de octubre–2 de noviembre</x:v>
      </x:c>
      <x:c r="K17" s="10" t="str">
        <x:v>Turnos, escalamiento, plantillas, conectividad y fuente operativa en vivo</x:v>
      </x:c>
      <x:c r="L17" s="10" t="str">
        <x:v>Consolidar microtareas históricas en entregables con gate y evidencia.</x:v>
      </x:c>
    </x:row>
    <x:row r="18" ht="42" customHeight="1">
      <x:c r="A18" s="10" t="str">
        <x:v>F26-17-CLOSE</x:v>
      </x:c>
      <x:c r="B18" s="10" t="str">
        <x:v>Cierre y aprendizaje</x:v>
      </x:c>
      <x:c r="C18" s="10" t="str">
        <x:v>Resultados, reputación, comercio y archivo</x:v>
      </x:c>
      <x:c r="D18" s="10" t="n">
        <x:f>COUNTIF('03_Inventario_2025'!$M$2:$M$189,A18)</x:f>
        <x:v>0</x:v>
      </x:c>
      <x:c r="E18" s="10" t="n">
        <x:f>COUNTIFS('03_Inventario_2025'!$M$2:$M$189,A18,'03_Inventario_2025'!$F$2:$F$189,"Completada")</x:f>
        <x:v>0</x:v>
      </x:c>
      <x:c r="F18" s="10" t="n">
        <x:f>D18-E18</x:f>
        <x:v>0</x:v>
      </x:c>
      <x:c r="G18" s="10" t="n">
        <x:f>COUNTIF('04_Plan_2026'!$B$2:$B$74,A18)</x:f>
        <x:v>5</x:v>
      </x:c>
      <x:c r="H18" s="10" t="str">
        <x:v>Analítica/tracking — vacante crítica + coordinación general</x:v>
      </x:c>
      <x:c r="I18" s="10" t="str">
        <x:v>Dirección + finanzas + dueños de frente</x:v>
      </x:c>
      <x:c r="J18" s="10" t="str">
        <x:v>3–16 de noviembre</x:v>
      </x:c>
      <x:c r="K18" s="10" t="str">
        <x:v>Fuentes conciliadas, definiciones y evidencia de cierre disponibles</x:v>
      </x:c>
      <x:c r="L18" s="10" t="str">
        <x:v>Brecha histórica crítica: el exporte no registra medición ni retrospectiva de cierre.</x:v>
      </x:c>
    </x:row>
  </x:sheetData>
  <x:conditionalFormatting sqref="F2:F18">
    <x:cfRule type="dataBar" priority="1">
      <x:dataBar>
        <x:cfvo type="min"/>
        <x:cfvo type="max"/>
        <x:color rgb="FFF28C28"/>
      </x:dataBar>
      <x:extLst>
        <x:ext xmlns:x14="http://schemas.microsoft.com/office/spreadsheetml/2009/9/main" uri="{B025F937-C7B1-47D3-B67F-A62EFF666E3E}">
          <x14:id>{33874202-513E-B327-F11B-2E2FC5AE0933}</x14:id>
        </x:ext>
      </x:extLst>
    </x:cfRule>
  </x:conditionalFormatting>
  <x:pageMargins left="0.7" right="0.7" top="0.75" bottom="0.75" header="0.3" footer="0.3"/>
  <x:tableParts count="1">
    <x:tablePart xmlns:r="http://schemas.openxmlformats.org/officeDocument/2006/relationships" r:id="R94a953c381e549f8"/>
  </x:tableParts>
  <x:extLst>
    <x:ext xmlns:x14="http://schemas.microsoft.com/office/spreadsheetml/2009/9/main" xmlns:xm="http://schemas.microsoft.com/office/excel/2006/main" uri="{78C0D931-6437-407d-A8EE-F0AAD7539E65}">
      <x14:conditionalFormattings>
        <x14:conditionalFormatting>
          <x14:cfRule type="dataBar" priority="1" id="{33874202-513E-B327-F11B-2E2FC5AE0933}">
            <x14:dataBar gradient="1">
              <x14:cfvo type="min"/>
              <x14:cfvo type="max"/>
              <x14:fillColor rgb="FFF28C28"/>
            </x14:dataBar>
          </x14:cfRule>
          <xm:sqref>F2:F18</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8" hidden="0" customWidth="1"/>
    <x:col min="4" max="4" width="25" hidden="0" customWidth="1"/>
    <x:col min="5" max="5" width="25" hidden="0" customWidth="1"/>
    <x:col min="6" max="6" width="15" hidden="0" customWidth="1"/>
    <x:col min="7" max="7" width="19" hidden="0" customWidth="1"/>
    <x:col min="8" max="8" width="19" hidden="0" customWidth="1"/>
    <x:col min="9" max="9" width="19" hidden="0" customWidth="1"/>
    <x:col min="10" max="10" width="42" hidden="0" customWidth="1"/>
    <x:col min="11" max="11" width="24" hidden="0" customWidth="1"/>
    <x:col min="12" max="12" width="11" hidden="0" customWidth="1"/>
    <x:col min="13" max="13" width="14" hidden="0" customWidth="1"/>
    <x:col min="14" max="14" width="25" hidden="0" customWidth="1"/>
    <x:col min="15" max="15" width="40" hidden="0" customWidth="1"/>
    <x:col min="16" max="16" width="36" hidden="0" customWidth="1"/>
    <x:col min="17" max="17" width="12" hidden="0" customWidth="1"/>
    <x:col min="18" max="18" width="38" hidden="0" customWidth="1"/>
    <x:col min="19" max="19" width="38" hidden="0" customWidth="1"/>
    <x:col min="20" max="20" width="25" hidden="0" customWidth="1"/>
    <x:col min="21" max="21" width="58" hidden="0" customWidth="1"/>
    <x:col min="22" max="22" width="58" hidden="0" customWidth="1"/>
    <x:col min="23" max="23" width="85" hidden="0" customWidth="1"/>
    <x:col min="24" max="24" width="14" hidden="0" customWidth="1"/>
    <x:col min="25" max="25" width="20" hidden="0" customWidth="1"/>
    <x:col min="26" max="26" width="18" hidden="0" customWidth="1"/>
  </x:cols>
  <x:sheetData>
    <x:row r="1" ht="34" customHeight="1">
      <x:c r="A1" s="22" t="str">
        <x:v>Fila fuente</x:v>
      </x:c>
      <x:c r="B1" s="22" t="str">
        <x:v>ID Bitrix</x:v>
      </x:c>
      <x:c r="C1" s="22" t="str">
        <x:v>Tarea 2025</x:v>
      </x:c>
      <x:c r="D1" s="22" t="str">
        <x:v>Responsable 2025</x:v>
      </x:c>
      <x:c r="E1" s="22" t="str">
        <x:v>Creado por 2025</x:v>
      </x:c>
      <x:c r="F1" s="22" t="str">
        <x:v>Estado 2025</x:v>
      </x:c>
      <x:c r="G1" s="22" t="str">
        <x:v>Creado el</x:v>
      </x:c>
      <x:c r="H1" s="22" t="str">
        <x:v>Fecha límite</x:v>
      </x:c>
      <x:c r="I1" s="22" t="str">
        <x:v>Cerrado el</x:v>
      </x:c>
      <x:c r="J1" s="22" t="str">
        <x:v>Participantes 2025</x:v>
      </x:c>
      <x:c r="K1" s="22" t="str">
        <x:v>Etiquetas</x:v>
      </x:c>
      <x:c r="L1" s="22" t="str">
        <x:v>ID padre</x:v>
      </x:c>
      <x:c r="M1" s="22" t="str">
        <x:v>Paquete 2026 ID</x:v>
      </x:c>
      <x:c r="N1" s="22" t="str">
        <x:v>Frente 2026</x:v>
      </x:c>
      <x:c r="O1" s="22" t="str">
        <x:v>Paquete 2026</x:v>
      </x:c>
      <x:c r="P1" s="22" t="str">
        <x:v>Tratamiento 2026</x:v>
      </x:c>
      <x:c r="Q1" s="22" t="str">
        <x:v>Riesgo</x:v>
      </x:c>
      <x:c r="R1" s="22" t="str">
        <x:v>Dueño 2026 propuesto</x:v>
      </x:c>
      <x:c r="S1" s="22" t="str">
        <x:v>Aprobador 2026 propuesto</x:v>
      </x:c>
      <x:c r="T1" s="22" t="str">
        <x:v>Fase 2026</x:v>
      </x:c>
      <x:c r="U1" s="22" t="str">
        <x:v>Gate 2026</x:v>
      </x:c>
      <x:c r="V1" s="22" t="str">
        <x:v>Criterio 2026</x:v>
      </x:c>
      <x:c r="W1" s="22" t="str">
        <x:v>Descripción sanitizada</x:v>
      </x:c>
      <x:c r="X1" s="22" t="str">
        <x:v>Dato omitido</x:v>
      </x:c>
      <x:c r="Y1" s="22" t="str">
        <x:v>Cumplimiento de plazo</x:v>
      </x:c>
      <x:c r="Z1" s="22" t="str">
        <x:v>Días creación→límite</x:v>
      </x:c>
    </x:row>
    <x:row r="2" ht="42" customHeight="1">
      <x:c r="A2" s="10" t="n">
        <x:v>1</x:v>
      </x:c>
      <x:c r="B2" s="10" t="n">
        <x:v>13184</x:v>
      </x:c>
      <x:c r="C2" s="10" t="str">
        <x:v>Actualización de marcas auspiciantes</x:v>
      </x:c>
      <x:c r="D2" s="10" t="str">
        <x:v>Stalin Flores</x:v>
      </x:c>
      <x:c r="E2" s="10" t="str">
        <x:v>Stalin Flores</x:v>
      </x:c>
      <x:c r="F2" s="10" t="str">
        <x:v>Completada</x:v>
      </x:c>
      <x:c r="G2" s="23" t="n">
        <x:v>45941.60445601852</x:v>
      </x:c>
      <x:c r="H2" s="23" t="n">
        <x:v>45943.958333333336</x:v>
      </x:c>
      <x:c r="I2" s="23" t="n">
        <x:v>45943.962905092594</x:v>
      </x:c>
      <x:c r="J2" s="10" t="str">
        <x:v>Stalin Flores, Sonia Estrella</x:v>
      </x:c>
      <x:c r="K2" s="10" t="str">
        <x:v>Diseño</x:v>
      </x:c>
      <x:c r="L2" s="10"/>
      <x:c r="M2" s="10" t="str">
        <x:v>F26-03-PAT</x:v>
      </x:c>
      <x:c r="N2" s="10" t="str">
        <x:v>Patrocinios y aliados</x:v>
      </x:c>
      <x:c r="O2" s="10" t="str">
        <x:v>Auspiciantes: altas, activos, beneficios y evidencia</x:v>
      </x:c>
      <x:c r="P2" s="10" t="str">
        <x:v>Convertir con control</x:v>
      </x:c>
      <x:c r="Q2" s="10" t="str">
        <x:v>Medio</x:v>
      </x:c>
      <x:c r="R2" s="10" t="str">
        <x:v>Dueño de patrocinadores — por asignar</x:v>
      </x:c>
      <x:c r="S2" s="10" t="str">
        <x:v>Dirección + finanzas/comercial</x:v>
      </x:c>
      <x:c r="T2" s="10" t="str">
        <x:v>Revelación y preventa</x:v>
      </x:c>
      <x:c r="U2" s="10" t="str">
        <x:v>Contrato, inventario de beneficios y master de logos conciliados</x:v>
      </x:c>
      <x:c r="V2" s="10" t="str">
        <x:v>Contrato, inventario de beneficios y master de logos conciliados</x:v>
      </x:c>
      <x:c r="W2" s="10" t="str"/>
      <x:c r="X2" s="10" t="str">
        <x:v>No</x:v>
      </x:c>
      <x:c r="Y2" s="10" t="str">
        <x:f>IF(F2&lt;&gt;"Completada","Sin cierre",IF(OR(H2="",I2=""),"Sin dato",IF(I2&lt;=H2,"A tiempo","Tarde")))</x:f>
        <x:v>Tarde</x:v>
      </x:c>
      <x:c r="Z2" s="24" t="n">
        <x:f>IF(OR(G2="",H2=""),"",H2-G2)</x:f>
        <x:v>2.3538773148175096</x:v>
      </x:c>
    </x:row>
    <x:row r="3" ht="42" customHeight="1">
      <x:c r="A3" s="10" t="n">
        <x:v>2</x:v>
      </x:c>
      <x:c r="B3" s="10" t="n">
        <x:v>13186</x:v>
      </x:c>
      <x:c r="C3" s="10" t="str">
        <x:v>Firma de auspicio general Viernes 17-10h30 am</x:v>
      </x:c>
      <x:c r="D3" s="10" t="str">
        <x:v>Edwin Naula</x:v>
      </x:c>
      <x:c r="E3" s="10" t="str">
        <x:v>Edwin Naula</x:v>
      </x:c>
      <x:c r="F3" s="10" t="str">
        <x:v>Completada</x:v>
      </x:c>
      <x:c r="G3" s="23" t="n">
        <x:v>45941.629525462966</x:v>
      </x:c>
      <x:c r="H3" s="23" t="n">
        <x:v>45950.979166666664</x:v>
      </x:c>
      <x:c r="I3" s="23" t="n">
        <x:v>45948.5549537037</x:v>
      </x:c>
      <x:c r="J3" s="10" t="str">
        <x:v>Pam Villa, Stalin Flores, Diego Flores (grafía por confirmar), Sonia Estrella</x:v>
      </x:c>
      <x:c r="K3" s="10" t="str">
        <x:v>Diseño, Multimedia</x:v>
      </x:c>
      <x:c r="L3" s="10"/>
      <x:c r="M3" s="10" t="str">
        <x:v>F26-03-PAT</x:v>
      </x:c>
      <x:c r="N3" s="10" t="str">
        <x:v>Patrocinios y aliados</x:v>
      </x:c>
      <x:c r="O3" s="10" t="str">
        <x:v>Auspiciantes: altas, activos, beneficios y evidencia</x:v>
      </x:c>
      <x:c r="P3" s="10" t="str">
        <x:v>Convertir con control</x:v>
      </x:c>
      <x:c r="Q3" s="10" t="str">
        <x:v>Medio</x:v>
      </x:c>
      <x:c r="R3" s="10" t="str">
        <x:v>Dueño de patrocinadores — por asignar</x:v>
      </x:c>
      <x:c r="S3" s="10" t="str">
        <x:v>Dirección + finanzas/comercial</x:v>
      </x:c>
      <x:c r="T3" s="10" t="str">
        <x:v>Revelación y preventa</x:v>
      </x:c>
      <x:c r="U3" s="10" t="str">
        <x:v>Contrato, inventario de beneficios y master de logos conciliados</x:v>
      </x:c>
      <x:c r="V3" s="10" t="str">
        <x:v>Contrato, inventario de beneficios y master de logos conciliados</x:v>
      </x:c>
      <x:c r="W3" s="10" t="str"/>
      <x:c r="X3" s="10" t="str">
        <x:v>No</x:v>
      </x:c>
      <x:c r="Y3" s="10" t="str">
        <x:f>IF(F3&lt;&gt;"Completada","Sin cierre",IF(OR(H3="",I3=""),"Sin dato",IF(I3&lt;=H3,"A tiempo","Tarde")))</x:f>
        <x:v>A tiempo</x:v>
      </x:c>
      <x:c r="Z3" s="24" t="n">
        <x:f>IF(OR(G3="",H3=""),"",H3-G3)</x:f>
        <x:v>9.349641203698411</x:v>
      </x:c>
    </x:row>
    <x:row r="4" ht="42" customHeight="1">
      <x:c r="A4" s="10" t="n">
        <x:v>3</x:v>
      </x:c>
      <x:c r="B4" s="10" t="n">
        <x:v>13190</x:v>
      </x:c>
      <x:c r="C4" s="10" t="str">
        <x:v>Dinámica tercer pase dorado</x:v>
      </x:c>
      <x:c r="D4" s="10" t="str">
        <x:v>Edwin Naula</x:v>
      </x:c>
      <x:c r="E4" s="10" t="str">
        <x:v>Edwin Naula</x:v>
      </x:c>
      <x:c r="F4" s="10" t="str">
        <x:v>Completada</x:v>
      </x:c>
      <x:c r="G4" s="23" t="n">
        <x:v>45941.6575</x:v>
      </x:c>
      <x:c r="H4" s="23" t="n">
        <x:v>45957.958333333336</x:v>
      </x:c>
      <x:c r="I4" s="23" t="n">
        <x:v>45957.52872685185</x:v>
      </x:c>
      <x:c r="J4" s="10" t="str">
        <x:v>Alex Naranjo, Pam Villa</x:v>
      </x:c>
      <x:c r="K4" s="10" t="str"/>
      <x:c r="L4" s="10"/>
      <x:c r="M4" s="10" t="str">
        <x:v>F26-05-ENT</x:v>
      </x:c>
      <x:c r="N4" s="10" t="str">
        <x:v>Entradas y conversión</x:v>
      </x:c>
      <x:c r="O4" s="10" t="str">
        <x:v>Preventa, boletería, puntos y disponibilidad</x:v>
      </x:c>
      <x:c r="P4" s="10" t="str">
        <x:v>No repetir mecánica; rescatar el principio</x:v>
      </x:c>
      <x:c r="Q4" s="10" t="str">
        <x:v>Alto</x:v>
      </x:c>
      <x:c r="R4" s="10" t="str">
        <x:v>Dueño de entradas/comercial — por asignar</x:v>
      </x:c>
      <x:c r="S4" s="10" t="str">
        <x:v>Dirección + finanzas + operación</x:v>
      </x:c>
      <x:c r="T4" s="10" t="str">
        <x:v>Revelación y preventa</x:v>
      </x:c>
      <x:c r="U4" s="10" t="str">
        <x:v>Oferta, precios, aforo, términos, destino seguro y compra de prueba</x:v>
      </x:c>
      <x:c r="V4" s="10" t="str">
        <x:v>El boleto dorado está reportado como saturado; sustituir por una experiencia nueva, limitada y verificable.</x:v>
      </x:c>
      <x:c r="W4" s="10" t="str">
        <x:v>Comunidad en WhatsApp 1. Trivia Musical: - Envía preguntas relacionadas con bandas, artistas o canciones populares. - El primero en responder correctamente gana puntos, y al final del día, el que tenga más puntos se lleva el pase. 2. Compartir Contenido: - Pide a los miembros del grupo que compartan un video promocional del evento en sus redes sociales. - Realiza un sorteo entre quienes envíen captura de pantalla como prueba. 3. Encuesta Rápida: - Haz una encuesta en el grupo preguntando cosas como: "¿Cuál es tu banda favorita?" o "¿Qué canción no puede faltar en el evento?". - Sortea el pase entre todos los que participen. 4. Mensaje Creativo: - Solicita que los participantes escriban un mensaje creativo o divertido explicando por qué quieren asistir al evento.</x:v>
      </x:c>
      <x:c r="X4" s="10" t="str">
        <x:v>No</x:v>
      </x:c>
      <x:c r="Y4" s="10" t="str">
        <x:f>IF(F4&lt;&gt;"Completada","Sin cierre",IF(OR(H4="",I4=""),"Sin dato",IF(I4&lt;=H4,"A tiempo","Tarde")))</x:f>
        <x:v>A tiempo</x:v>
      </x:c>
      <x:c r="Z4" s="24" t="n">
        <x:f>IF(OR(G4="",H4=""),"",H4-G4)</x:f>
        <x:v>16.300833333334594</x:v>
      </x:c>
    </x:row>
    <x:row r="5" ht="42" customHeight="1">
      <x:c r="A5" s="10" t="n">
        <x:v>4</x:v>
      </x:c>
      <x:c r="B5" s="10" t="n">
        <x:v>13194</x:v>
      </x:c>
      <x:c r="C5" s="10" t="str">
        <x:v>Dinámica del cuarto pase dorado</x:v>
      </x:c>
      <x:c r="D5" s="10" t="str">
        <x:v>Edwin Naula</x:v>
      </x:c>
      <x:c r="E5" s="10" t="str">
        <x:v>Edwin Naula</x:v>
      </x:c>
      <x:c r="F5" s="10" t="str">
        <x:v>Completada</x:v>
      </x:c>
      <x:c r="G5" s="23" t="n">
        <x:v>45941.66369212963</x:v>
      </x:c>
      <x:c r="H5" s="23" t="n">
        <x:v>45957.958333333336</x:v>
      </x:c>
      <x:c r="I5" s="23" t="n">
        <x:v>45957.68853009259</x:v>
      </x:c>
      <x:c r="J5" s="10" t="str"/>
      <x:c r="K5" s="10" t="str"/>
      <x:c r="L5" s="10"/>
      <x:c r="M5" s="10" t="str">
        <x:v>F26-05-ENT</x:v>
      </x:c>
      <x:c r="N5" s="10" t="str">
        <x:v>Entradas y conversión</x:v>
      </x:c>
      <x:c r="O5" s="10" t="str">
        <x:v>Preventa, boletería, puntos y disponibilidad</x:v>
      </x:c>
      <x:c r="P5" s="10" t="str">
        <x:v>No repetir mecánica; rescatar el principio</x:v>
      </x:c>
      <x:c r="Q5" s="10" t="str">
        <x:v>Alto</x:v>
      </x:c>
      <x:c r="R5" s="10" t="str">
        <x:v>Dueño de entradas/comercial — por asignar</x:v>
      </x:c>
      <x:c r="S5" s="10" t="str">
        <x:v>Dirección + finanzas + operación</x:v>
      </x:c>
      <x:c r="T5" s="10" t="str">
        <x:v>Revelación y preventa</x:v>
      </x:c>
      <x:c r="U5" s="10" t="str">
        <x:v>Oferta, precios, aforo, términos, destino seguro y compra de prueba</x:v>
      </x:c>
      <x:c r="V5" s="10" t="str">
        <x:v>El boleto dorado está reportado como saturado; sustituir por una experiencia nueva, limitada y verificable.</x:v>
      </x:c>
      <x:c r="W5" s="10" t="str">
        <x:v>Todo el sorteo se va.a basar en la etiqueta 1. Reto de freestyle Pide a los participantes que creen una improvisando 2. Dueto Creativo Sube un video en tiktok de por que deberias ser tu el ganador del cuarto pase dorado 3. Reto de Lip Sync Elige un audio divertido o icónico y reta a los participantes a hacer un lip sync creativo. Pueden agregar disfraces, efectos o cualquier elemento que haga su video destacar. El video con más creatividad o interacción será el ganador.</x:v>
      </x:c>
      <x:c r="X5" s="10" t="str">
        <x:v>No</x:v>
      </x:c>
      <x:c r="Y5" s="10" t="str">
        <x:f>IF(F5&lt;&gt;"Completada","Sin cierre",IF(OR(H5="",I5=""),"Sin dato",IF(I5&lt;=H5,"A tiempo","Tarde")))</x:f>
        <x:v>A tiempo</x:v>
      </x:c>
      <x:c r="Z5" s="24" t="n">
        <x:f>IF(OR(G5="",H5=""),"",H5-G5)</x:f>
        <x:v>16.294641203705396</x:v>
      </x:c>
    </x:row>
    <x:row r="6" ht="42" customHeight="1">
      <x:c r="A6" s="10" t="n">
        <x:v>5</x:v>
      </x:c>
      <x:c r="B6" s="10" t="n">
        <x:v>13196</x:v>
      </x:c>
      <x:c r="C6" s="10" t="str">
        <x:v>Reglamento de Uso del Ticket Dorado</x:v>
      </x:c>
      <x:c r="D6" s="10" t="str">
        <x:v>Stalin Flores</x:v>
      </x:c>
      <x:c r="E6" s="10" t="str">
        <x:v>Stalin Flores</x:v>
      </x:c>
      <x:c r="F6" s="10" t="str">
        <x:v>Completada</x:v>
      </x:c>
      <x:c r="G6" s="23" t="n">
        <x:v>45941.66787037037</x:v>
      </x:c>
      <x:c r="H6" s="23" t="n">
        <x:v>45946.958333333336</x:v>
      </x:c>
      <x:c r="I6" s="23" t="n">
        <x:v>45950.85545138889</x:v>
      </x:c>
      <x:c r="J6" s="10" t="str">
        <x:v>Alex Naranjo</x:v>
      </x:c>
      <x:c r="K6" s="10" t="str">
        <x:v>Estratégico</x:v>
      </x:c>
      <x:c r="L6" s="10"/>
      <x:c r="M6" s="10" t="str">
        <x:v>F26-05-ENT</x:v>
      </x:c>
      <x:c r="N6" s="10" t="str">
        <x:v>Entradas y conversión</x:v>
      </x:c>
      <x:c r="O6" s="10" t="str">
        <x:v>Preventa, boletería, puntos y disponibilidad</x:v>
      </x:c>
      <x:c r="P6" s="10" t="str">
        <x:v>No repetir mecánica; rescatar el principio</x:v>
      </x:c>
      <x:c r="Q6" s="10" t="str">
        <x:v>Alto</x:v>
      </x:c>
      <x:c r="R6" s="10" t="str">
        <x:v>Dueño de entradas/comercial — por asignar</x:v>
      </x:c>
      <x:c r="S6" s="10" t="str">
        <x:v>Dirección + finanzas + operación</x:v>
      </x:c>
      <x:c r="T6" s="10" t="str">
        <x:v>Revelación y preventa</x:v>
      </x:c>
      <x:c r="U6" s="10" t="str">
        <x:v>Oferta, precios, aforo, términos, destino seguro y compra de prueba</x:v>
      </x:c>
      <x:c r="V6" s="10" t="str">
        <x:v>El boleto dorado está reportado como saturado; sustituir por una experiencia nueva, limitada y verificable.</x:v>
      </x:c>
      <x:c r="W6" s="10" t="str">
        <x:v>El "Ticket Dorado" es un pase exclusivo que incluye los siguientes beneficios: - Kit especial: Incluye una camiseta, una gorra, un gafete, un boleto y un pasaporte. - Pase individual: Acceso exclusivo para una persona. - Acceso a todos los conciertos: Entrada garantizada a todos los eventos musicales. - Acceso completo a áreas privilegiadas: Disfruta de zonas exclusivas con comodidades adicionales. - Acceso destacado en la Comunidad Mushuc Runa: Beneficios y privilegios únicos dentro de la comunidad. Este ticket representa una experiencia premium diseñada para ofrecer comodidad, exclusividad y acceso total a los eventos y áreas especiales.</x:v>
      </x:c>
      <x:c r="X6" s="10" t="str">
        <x:v>No</x:v>
      </x:c>
      <x:c r="Y6" s="10" t="str">
        <x:f>IF(F6&lt;&gt;"Completada","Sin cierre",IF(OR(H6="",I6=""),"Sin dato",IF(I6&lt;=H6,"A tiempo","Tarde")))</x:f>
        <x:v>Tarde</x:v>
      </x:c>
      <x:c r="Z6" s="24" t="n">
        <x:f>IF(OR(G6="",H6=""),"",H6-G6)</x:f>
        <x:v>5.29046296296292</x:v>
      </x:c>
    </x:row>
    <x:row r="7" ht="42" customHeight="1">
      <x:c r="A7" s="10" t="n">
        <x:v>6</x:v>
      </x:c>
      <x:c r="B7" s="10" t="n">
        <x:v>13200</x:v>
      </x:c>
      <x:c r="C7" s="10" t="str">
        <x:v>Souvenirs para el kit</x:v>
      </x:c>
      <x:c r="D7" s="10" t="str">
        <x:v>Stalin Flores</x:v>
      </x:c>
      <x:c r="E7" s="10" t="str">
        <x:v>Stalin Flores</x:v>
      </x:c>
      <x:c r="F7" s="10" t="str">
        <x:v>Completada</x:v>
      </x:c>
      <x:c r="G7" s="23" t="n">
        <x:v>45941.67361111111</x:v>
      </x:c>
      <x:c r="H7" s="23" t="n">
        <x:v>45944.958333333336</x:v>
      </x:c>
      <x:c r="I7" s="23" t="n">
        <x:v>45944.587430555555</x:v>
      </x:c>
      <x:c r="J7" s="10" t="str">
        <x:v>Stalin Flores, Diego Flores (grafía por confirmar), Edwin Masa Sisa (identidad por confirmar)</x:v>
      </x:c>
      <x:c r="K7" s="10" t="str">
        <x:v>Diseño</x:v>
      </x:c>
      <x:c r="L7" s="10"/>
      <x:c r="M7" s="10" t="str">
        <x:v>F26-05-ENT</x:v>
      </x:c>
      <x:c r="N7" s="10" t="str">
        <x:v>Entradas y conversión</x:v>
      </x:c>
      <x:c r="O7" s="10" t="str">
        <x:v>Preventa, boletería, puntos y disponibilidad</x:v>
      </x:c>
      <x:c r="P7" s="10" t="str">
        <x:v>Convertir con control</x:v>
      </x:c>
      <x:c r="Q7" s="10" t="str">
        <x:v>Alto</x:v>
      </x:c>
      <x:c r="R7" s="10" t="str">
        <x:v>Dueño de entradas/comercial — por asignar</x:v>
      </x:c>
      <x:c r="S7" s="10" t="str">
        <x:v>Dirección + finanzas + operación</x:v>
      </x:c>
      <x:c r="T7" s="10" t="str">
        <x:v>Revelación y preventa</x:v>
      </x:c>
      <x:c r="U7" s="10" t="str">
        <x:v>Oferta, precios, aforo, términos, destino seguro y compra de prueba</x:v>
      </x:c>
      <x:c r="V7" s="10" t="str">
        <x:v>Oferta, precios, aforo, términos, destino seguro y compra de prueba</x:v>
      </x:c>
      <x:c r="W7" s="10" t="str"/>
      <x:c r="X7" s="10" t="str">
        <x:v>No</x:v>
      </x:c>
      <x:c r="Y7" s="10" t="str">
        <x:f>IF(F7&lt;&gt;"Completada","Sin cierre",IF(OR(H7="",I7=""),"Sin dato",IF(I7&lt;=H7,"A tiempo","Tarde")))</x:f>
        <x:v>A tiempo</x:v>
      </x:c>
      <x:c r="Z7" s="24" t="n">
        <x:f>IF(OR(G7="",H7=""),"",H7-G7)</x:f>
        <x:v>3.2847222222262644</x:v>
      </x:c>
    </x:row>
    <x:row r="8" ht="42" customHeight="1">
      <x:c r="A8" s="10" t="n">
        <x:v>7</x:v>
      </x:c>
      <x:c r="B8" s="10" t="n">
        <x:v>13202</x:v>
      </x:c>
      <x:c r="C8" s="10" t="str">
        <x:v>Socialización con las marcas auspiciantes</x:v>
      </x:c>
      <x:c r="D8" s="10" t="str">
        <x:v>Sonia Estrella</x:v>
      </x:c>
      <x:c r="E8" s="10" t="str">
        <x:v>Stalin Flores</x:v>
      </x:c>
      <x:c r="F8" s="10" t="str">
        <x:v>Completada</x:v>
      </x:c>
      <x:c r="G8" s="23" t="n">
        <x:v>45941.67563657407</x:v>
      </x:c>
      <x:c r="H8" s="23" t="n">
        <x:v>45951.958333333336</x:v>
      </x:c>
      <x:c r="I8" s="23" t="n">
        <x:v>45953.55520833333</x:v>
      </x:c>
      <x:c r="J8" s="10" t="str"/>
      <x:c r="K8" s="10" t="str">
        <x:v>Estratégico</x:v>
      </x:c>
      <x:c r="L8" s="10"/>
      <x:c r="M8" s="10" t="str">
        <x:v>F26-03-PAT</x:v>
      </x:c>
      <x:c r="N8" s="10" t="str">
        <x:v>Patrocinios y aliados</x:v>
      </x:c>
      <x:c r="O8" s="10" t="str">
        <x:v>Auspiciantes: altas, activos, beneficios y evidencia</x:v>
      </x:c>
      <x:c r="P8" s="10" t="str">
        <x:v>Convertir con control</x:v>
      </x:c>
      <x:c r="Q8" s="10" t="str">
        <x:v>Medio</x:v>
      </x:c>
      <x:c r="R8" s="10" t="str">
        <x:v>Dueño de patrocinadores — por asignar</x:v>
      </x:c>
      <x:c r="S8" s="10" t="str">
        <x:v>Dirección + finanzas/comercial</x:v>
      </x:c>
      <x:c r="T8" s="10" t="str">
        <x:v>Revelación y preventa</x:v>
      </x:c>
      <x:c r="U8" s="10" t="str">
        <x:v>Contrato, inventario de beneficios y master de logos conciliados</x:v>
      </x:c>
      <x:c r="V8" s="10" t="str">
        <x:v>Contrato, inventario de beneficios y master de logos conciliados</x:v>
      </x:c>
      <x:c r="W8" s="10" t="str">
        <x:v>Estrategia para Socializar la Línea Gráfica, Eventos y Dinámicas: 1. Definición de la Línea Gráfica: - Crear una identidad visual coherente y atractiva que refleje los valores de las marcas patrocinadoras y de "Finados 2025". - Diseñar elementos gráficos que sean versátiles y adaptables a diferentes plataformas (digitales y físicas). - Incorporar elementos culturales y simbólicos que conecten emocionalmente con el público objetivo. 2. Eventos y Activaciones: - Colaboraciones: Fomentar colaboraciones entre las marcas patrocinadoras para generar sinergias y maximizar el impacto de sus mensajes. 3. Dinámicas en Redes Sociales: - Concursos y Sorteos: Invitar a los usuarios a participar en dinámicas relacionadas con "Finados 2025" y las marcas patrocinadoras, como compartir fotos, videos o historias usando hashtags específicos. - Contenido Exclusivo: Ofrecer contenido exclusivo de las marcas patrocinadoras a través de las plataformas oficiales del evento. 4. Comunicación Estratégica: - Mensajes Claros y Consistentes: Asegurarse de que todos los mensajes estén alineados con los objetivos del evento y las marcas. - Campañas Multicanal: Utilizar una combinación de medios tradicionales y digitales y auspiciantes para llegar a diferentes segmentos del público. - Feedback Constante: Establecer canales de comunicación para recibir retroalimentación de las marcas y los asistentes, ajustando las estrategias según sea necesario. 5. Maximización del Potencial de las Marcas: - Medición de Resultados: Implementar métricas claras para evaluar el impacto de las activaciones y la participación de las marcas. - Propuestas de Valor: Mostrar a las marcas cómo su participación en "Finados 2025" puede traducirse en beneficios tangibles, como mayor visibilidad, engagement y ventas. - Relaciones a Largo Plazo: Construir relaciones sólidas con las marcas para fomentar su participación en futuros eventos.</x:v>
      </x:c>
      <x:c r="X8" s="10" t="str">
        <x:v>No</x:v>
      </x:c>
      <x:c r="Y8" s="10" t="str">
        <x:f>IF(F8&lt;&gt;"Completada","Sin cierre",IF(OR(H8="",I8=""),"Sin dato",IF(I8&lt;=H8,"A tiempo","Tarde")))</x:f>
        <x:v>Tarde</x:v>
      </x:c>
      <x:c r="Z8" s="24" t="n">
        <x:f>IF(OR(G8="",H8=""),"",H8-G8)</x:f>
        <x:v>10.282696759262762</x:v>
      </x:c>
    </x:row>
    <x:row r="9" ht="42" customHeight="1">
      <x:c r="A9" s="10" t="n">
        <x:v>8</x:v>
      </x:c>
      <x:c r="B9" s="10" t="n">
        <x:v>13204</x:v>
      </x:c>
      <x:c r="C9" s="10" t="str">
        <x:v>Contactar con auspiciantes</x:v>
      </x:c>
      <x:c r="D9" s="10" t="str">
        <x:v>Sonia Estrella</x:v>
      </x:c>
      <x:c r="E9" s="10" t="str">
        <x:v>Stalin Flores</x:v>
      </x:c>
      <x:c r="F9" s="10" t="str">
        <x:v>Completada</x:v>
      </x:c>
      <x:c r="G9" s="23" t="n">
        <x:v>45941.684525462966</x:v>
      </x:c>
      <x:c r="H9" s="23" t="n">
        <x:v>45944.958333333336</x:v>
      </x:c>
      <x:c r="I9" s="23" t="n">
        <x:v>45945.62951388889</x:v>
      </x:c>
      <x:c r="J9" s="10" t="str"/>
      <x:c r="K9" s="10" t="str">
        <x:v>Estratégico</x:v>
      </x:c>
      <x:c r="L9" s="10" t="n">
        <x:v>13202</x:v>
      </x:c>
      <x:c r="M9" s="10" t="str">
        <x:v>F26-03-PAT</x:v>
      </x:c>
      <x:c r="N9" s="10" t="str">
        <x:v>Patrocinios y aliados</x:v>
      </x:c>
      <x:c r="O9" s="10" t="str">
        <x:v>Auspiciantes: altas, activos, beneficios y evidencia</x:v>
      </x:c>
      <x:c r="P9" s="10" t="str">
        <x:v>Convertir con control</x:v>
      </x:c>
      <x:c r="Q9" s="10" t="str">
        <x:v>Medio</x:v>
      </x:c>
      <x:c r="R9" s="10" t="str">
        <x:v>Dueño de patrocinadores — por asignar</x:v>
      </x:c>
      <x:c r="S9" s="10" t="str">
        <x:v>Dirección + finanzas/comercial</x:v>
      </x:c>
      <x:c r="T9" s="10" t="str">
        <x:v>Revelación y preventa</x:v>
      </x:c>
      <x:c r="U9" s="10" t="str">
        <x:v>Contrato, inventario de beneficios y master de logos conciliados</x:v>
      </x:c>
      <x:c r="V9" s="10" t="str">
        <x:v>Contrato, inventario de beneficios y master de logos conciliados</x:v>
      </x:c>
      <x:c r="W9" s="10" t="str">
        <x:v>Programar una reunión virtual para el día miércoles a las 10 am socializar la estrategia omnicanal por medio de auspiciantes Implica organizar un encuentro con los principales interesados, incluyendo auspiciantes, para presentar y discutir la estrategia omnicanal. El objetivo es explicar los beneficios, detallar el rol de los auspiciantes en la implementación y fomentar su participación activa. La reunión va incluir una agenda clara, materiales de apoyo como presentaciones y documentos informativos, y un espacio para resolver dudas y definir próximos pasos. Enviar el link REUNIÓN MKT MARCAS AUSPICIANTES 15 oct • 10–11 a.m. • Revisa los detalles y confirma tu asistencia [URL OMITIDA]</x:v>
      </x:c>
      <x:c r="X9" s="10" t="str">
        <x:v>Sí</x:v>
      </x:c>
      <x:c r="Y9" s="10" t="str">
        <x:f>IF(F9&lt;&gt;"Completada","Sin cierre",IF(OR(H9="",I9=""),"Sin dato",IF(I9&lt;=H9,"A tiempo","Tarde")))</x:f>
        <x:v>Tarde</x:v>
      </x:c>
      <x:c r="Z9" s="24" t="n">
        <x:f>IF(OR(G9="",H9=""),"",H9-G9)</x:f>
        <x:v>3.2738078703696374</x:v>
      </x:c>
    </x:row>
    <x:row r="10" ht="42" customHeight="1">
      <x:c r="A10" s="10" t="n">
        <x:v>9</x:v>
      </x:c>
      <x:c r="B10" s="10" t="n">
        <x:v>13238</x:v>
      </x:c>
      <x:c r="C10" s="10" t="str">
        <x:v>Socializar con jefes de agencia para socilización de feria</x:v>
      </x:c>
      <x:c r="D10" s="10" t="str">
        <x:v>Isabela Orozco</x:v>
      </x:c>
      <x:c r="E10" s="10" t="str">
        <x:v>Stalin Flores</x:v>
      </x:c>
      <x:c r="F10" s="10" t="str">
        <x:v>Completada</x:v>
      </x:c>
      <x:c r="G10" s="23" t="n">
        <x:v>45943.60203703704</x:v>
      </x:c>
      <x:c r="H10" s="23" t="n">
        <x:v>45944.958333333336</x:v>
      </x:c>
      <x:c r="I10" s="23" t="n">
        <x:v>45944.978634259256</x:v>
      </x:c>
      <x:c r="J10" s="10" t="str"/>
      <x:c r="K10" s="10" t="str"/>
      <x:c r="L10" s="10" t="n">
        <x:v>13204</x:v>
      </x:c>
      <x:c r="M10" s="10" t="str">
        <x:v>F26-10-PR</x:v>
      </x:c>
      <x:c r="N10" s="10" t="str">
        <x:v>Relaciones públicas</x:v>
      </x:c>
      <x:c r="O10" s="10" t="str">
        <x:v>Prensa, radios, giras y vocerías</x:v>
      </x:c>
      <x:c r="P10" s="10" t="str">
        <x:v>Convertir con control</x:v>
      </x:c>
      <x:c r="Q10" s="10" t="str">
        <x:v>Medio</x:v>
      </x:c>
      <x:c r="R10" s="10" t="str">
        <x:v>Relaciones públicas — Are Morales</x:v>
      </x:c>
      <x:c r="S10" s="10" t="str">
        <x:v>Dirección + vocero autorizado</x:v>
      </x:c>
      <x:c r="T10" s="10" t="str">
        <x:v>Revelación y conversión</x:v>
      </x:c>
      <x:c r="U10" s="10" t="str">
        <x:v>Mensajes, agenda, vocero, ficha factual y monitoreo aprobados</x:v>
      </x:c>
      <x:c r="V10" s="10" t="str">
        <x:v>Mensajes, agenda, vocero, ficha factual y monitoreo aprobados</x:v>
      </x:c>
      <x:c r="W10" s="10" t="str"/>
      <x:c r="X10" s="10" t="str">
        <x:v>No</x:v>
      </x:c>
      <x:c r="Y10" s="10" t="str">
        <x:f>IF(F10&lt;&gt;"Completada","Sin cierre",IF(OR(H10="",I10=""),"Sin dato",IF(I10&lt;=H10,"A tiempo","Tarde")))</x:f>
        <x:v>Tarde</x:v>
      </x:c>
      <x:c r="Z10" s="24" t="n">
        <x:f>IF(OR(G10="",H10=""),"",H10-G10)</x:f>
        <x:v>1.3562962962969323</x:v>
      </x:c>
    </x:row>
    <x:row r="11" ht="42" customHeight="1">
      <x:c r="A11" s="10" t="n">
        <x:v>10</x:v>
      </x:c>
      <x:c r="B11" s="10" t="n">
        <x:v>13240</x:v>
      </x:c>
      <x:c r="C11" s="10" t="str">
        <x:v>20 pases generales</x:v>
      </x:c>
      <x:c r="D11" s="10" t="str">
        <x:v>Stalin Flores</x:v>
      </x:c>
      <x:c r="E11" s="10" t="str">
        <x:v>Stalin Flores</x:v>
      </x:c>
      <x:c r="F11" s="10" t="str">
        <x:v>Completada</x:v>
      </x:c>
      <x:c r="G11" s="23" t="n">
        <x:v>45943.60711805556</x:v>
      </x:c>
      <x:c r="H11" s="23" t="n">
        <x:v>45945.958333333336</x:v>
      </x:c>
      <x:c r="I11" s="23" t="n">
        <x:v>45946.66971064815</x:v>
      </x:c>
      <x:c r="J11" s="10" t="str"/>
      <x:c r="K11" s="10" t="str"/>
      <x:c r="L11" s="10" t="n">
        <x:v>13204</x:v>
      </x:c>
      <x:c r="M11" s="10" t="str">
        <x:v>F26-05-ENT</x:v>
      </x:c>
      <x:c r="N11" s="10" t="str">
        <x:v>Entradas y conversión</x:v>
      </x:c>
      <x:c r="O11" s="10" t="str">
        <x:v>Preventa, boletería, puntos y disponibilidad</x:v>
      </x:c>
      <x:c r="P11" s="10" t="str">
        <x:v>Convertir con control</x:v>
      </x:c>
      <x:c r="Q11" s="10" t="str">
        <x:v>Alto</x:v>
      </x:c>
      <x:c r="R11" s="10" t="str">
        <x:v>Dueño de entradas/comercial — por asignar</x:v>
      </x:c>
      <x:c r="S11" s="10" t="str">
        <x:v>Dirección + finanzas + operación</x:v>
      </x:c>
      <x:c r="T11" s="10" t="str">
        <x:v>Revelación y preventa</x:v>
      </x:c>
      <x:c r="U11" s="10" t="str">
        <x:v>Oferta, precios, aforo, términos, destino seguro y compra de prueba</x:v>
      </x:c>
      <x:c r="V11" s="10" t="str">
        <x:v>Oferta, precios, aforo, términos, destino seguro y compra de prueba</x:v>
      </x:c>
      <x:c r="W11" s="10" t="str">
        <x:v>Propuesta para Auspiciantes: Entrega de 20 Pases para el Concierto Con el objetivo de maximizar la difusión del concierto y generar mayor impacto en redes sociales, se propone entregar 20 pases exclusivos a los auspiciantes. Estos pases podrán ser utilizados por ellos para: 1. Promoción en Redes Sociales**: Publicar contenido relacionado con el concierto en sus plataformas, incentivando a su audiencia a participar y generar interacción. 2. Concursos o Sorteos**: Realizar dinámicas en sus redes sociales para regalar los pases, aumentando su alcance y engagement. 3. Presencia de Marca**: Asociar su marca con el evento, mostrando su apoyo y participación activa en actividades culturales. **Beneficios para los Auspiciantes:** - Mayor visibilidad de su marca en un evento relevante. - Incremento en la interacción con su audiencia. - Posibilidad de atraer nuevos seguidores y clientes. **Recomendaciones:** - Establecer un hashtag oficial del concierto para unificar las publicaciones. - Proveer material gráfico y audiovisual del evento para facilitar la promoción. - Asegurarse de que los auspiciantes etiqueten las cuentas oficiales del concierto en sus publicaciones.</x:v>
      </x:c>
      <x:c r="X11" s="10" t="str">
        <x:v>No</x:v>
      </x:c>
      <x:c r="Y11" s="10" t="str">
        <x:f>IF(F11&lt;&gt;"Completada","Sin cierre",IF(OR(H11="",I11=""),"Sin dato",IF(I11&lt;=H11,"A tiempo","Tarde")))</x:f>
        <x:v>Tarde</x:v>
      </x:c>
      <x:c r="Z11" s="24" t="n">
        <x:f>IF(OR(G11="",H11=""),"",H11-G11)</x:f>
        <x:v>2.351215277776646</x:v>
      </x:c>
    </x:row>
    <x:row r="12" ht="42" customHeight="1">
      <x:c r="A12" s="10" t="n">
        <x:v>11</x:v>
      </x:c>
      <x:c r="B12" s="10" t="n">
        <x:v>13242</x:v>
      </x:c>
      <x:c r="C12" s="10" t="str">
        <x:v>Material publicitario del drive</x:v>
      </x:c>
      <x:c r="D12" s="10" t="str">
        <x:v>Stalin Flores</x:v>
      </x:c>
      <x:c r="E12" s="10" t="str">
        <x:v>Stalin Flores</x:v>
      </x:c>
      <x:c r="F12" s="10" t="str">
        <x:v>Completada</x:v>
      </x:c>
      <x:c r="G12" s="23" t="n">
        <x:v>45943.607939814814</x:v>
      </x:c>
      <x:c r="H12" s="23" t="n">
        <x:v>45945.958333333336</x:v>
      </x:c>
      <x:c r="I12" s="23" t="n">
        <x:v>45945.62900462963</x:v>
      </x:c>
      <x:c r="J12" s="10" t="str"/>
      <x:c r="K12" s="10" t="str"/>
      <x:c r="L12" s="10" t="n">
        <x:v>13204</x:v>
      </x:c>
      <x:c r="M12" s="10" t="str">
        <x:v>F26-03-PAT</x:v>
      </x:c>
      <x:c r="N12" s="10" t="str">
        <x:v>Patrocinios y aliados</x:v>
      </x:c>
      <x:c r="O12" s="10" t="str">
        <x:v>Auspiciantes: altas, activos, beneficios y evidencia</x:v>
      </x:c>
      <x:c r="P12" s="10" t="str">
        <x:v>Convertir con control</x:v>
      </x:c>
      <x:c r="Q12" s="10" t="str">
        <x:v>Medio</x:v>
      </x:c>
      <x:c r="R12" s="10" t="str">
        <x:v>Dueño de patrocinadores — por asignar</x:v>
      </x:c>
      <x:c r="S12" s="10" t="str">
        <x:v>Dirección + finanzas/comercial</x:v>
      </x:c>
      <x:c r="T12" s="10" t="str">
        <x:v>Revelación y preventa</x:v>
      </x:c>
      <x:c r="U12" s="10" t="str">
        <x:v>Contrato, inventario de beneficios y master de logos conciliados</x:v>
      </x:c>
      <x:c r="V12" s="10" t="str">
        <x:v>Contrato, inventario de beneficios y master de logos conciliados</x:v>
      </x:c>
      <x:c r="W12" s="10" t="str">
        <x:v>Se proporcionará a los auspiciantes material promocional exclusivo y de alta calidad, diseñado específicamente para su distribución en sus fanpages. Este material incluirá imágenes, videos, textos y gráficos personalizados que reflejan la identidad de la marca y el evento o proyecto en cuestión. El objetivo es facilitar la promoción efectiva y atractiva, asegurando que los auspiciantes puedan conectar con su audiencia de manera profesional y destacada.</x:v>
      </x:c>
      <x:c r="X12" s="10" t="str">
        <x:v>No</x:v>
      </x:c>
      <x:c r="Y12" s="10" t="str">
        <x:f>IF(F12&lt;&gt;"Completada","Sin cierre",IF(OR(H12="",I12=""),"Sin dato",IF(I12&lt;=H12,"A tiempo","Tarde")))</x:f>
        <x:v>A tiempo</x:v>
      </x:c>
      <x:c r="Z12" s="24" t="n">
        <x:f>IF(OR(G12="",H12=""),"",H12-G12)</x:f>
        <x:v>2.3503935185217415</x:v>
      </x:c>
    </x:row>
    <x:row r="13" ht="42" customHeight="1">
      <x:c r="A13" s="10" t="n">
        <x:v>12</x:v>
      </x:c>
      <x:c r="B13" s="10" t="n">
        <x:v>13206</x:v>
      </x:c>
      <x:c r="C13" s="10" t="str">
        <x:v>Reunión con aupiciantes</x:v>
      </x:c>
      <x:c r="D13" s="10" t="str">
        <x:v>Edwin Naula</x:v>
      </x:c>
      <x:c r="E13" s="10" t="str">
        <x:v>Edwin Naula</x:v>
      </x:c>
      <x:c r="F13" s="10" t="str">
        <x:v>Completada</x:v>
      </x:c>
      <x:c r="G13" s="23" t="n">
        <x:v>45941.6919212963</x:v>
      </x:c>
      <x:c r="H13" s="23" t="n">
        <x:v>45947.625</x:v>
      </x:c>
      <x:c r="I13" s="23" t="n">
        <x:v>45947.650775462964</x:v>
      </x:c>
      <x:c r="J13" s="10" t="str"/>
      <x:c r="K13" s="10" t="str"/>
      <x:c r="L13" s="10" t="n">
        <x:v>13202</x:v>
      </x:c>
      <x:c r="M13" s="10" t="str">
        <x:v>F26-03-PAT</x:v>
      </x:c>
      <x:c r="N13" s="10" t="str">
        <x:v>Patrocinios y aliados</x:v>
      </x:c>
      <x:c r="O13" s="10" t="str">
        <x:v>Auspiciantes: altas, activos, beneficios y evidencia</x:v>
      </x:c>
      <x:c r="P13" s="10" t="str">
        <x:v>Convertir con control</x:v>
      </x:c>
      <x:c r="Q13" s="10" t="str">
        <x:v>Medio</x:v>
      </x:c>
      <x:c r="R13" s="10" t="str">
        <x:v>Dueño de patrocinadores — por asignar</x:v>
      </x:c>
      <x:c r="S13" s="10" t="str">
        <x:v>Dirección + finanzas/comercial</x:v>
      </x:c>
      <x:c r="T13" s="10" t="str">
        <x:v>Revelación y preventa</x:v>
      </x:c>
      <x:c r="U13" s="10" t="str">
        <x:v>Contrato, inventario de beneficios y master de logos conciliados</x:v>
      </x:c>
      <x:c r="V13" s="10" t="str">
        <x:v>Contrato, inventario de beneficios y master de logos conciliados</x:v>
      </x:c>
      <x:c r="W13" s="10" t="str">
        <x:v>En esta reunión se presentarán los beneficios de ser auspiciantes, con el objetivo de motivar a los participantes a usar la marca y comprometerse más profundamente con ella. Se busca que esta sea una campaña sólida, respaldada por un equipo claro y enfocado. Además, se incentivará a los asistentes a publicar artes, actualizar sus banners y conectarse activamente con la comunidad, destacando que esto representa un beneficio mutuo. Durante el evento, se proporcionarán materiales exclusivos como videos, artes, logotipos y una explicación detallada sobre el uso adecuado de la imagen. Esto permitirá a los participantes contar con las herramientas necesarias para fortalecer su vínculo con la marca y contribuir al crecimiento de la comunidad.</x:v>
      </x:c>
      <x:c r="X13" s="10" t="str">
        <x:v>No</x:v>
      </x:c>
      <x:c r="Y13" s="10" t="str">
        <x:f>IF(F13&lt;&gt;"Completada","Sin cierre",IF(OR(H13="",I13=""),"Sin dato",IF(I13&lt;=H13,"A tiempo","Tarde")))</x:f>
        <x:v>Tarde</x:v>
      </x:c>
      <x:c r="Z13" s="24" t="n">
        <x:f>IF(OR(G13="",H13=""),"",H13-G13)</x:f>
        <x:v>5.933078703703359</x:v>
      </x:c>
    </x:row>
    <x:row r="14" ht="42" customHeight="1">
      <x:c r="A14" s="10" t="n">
        <x:v>13</x:v>
      </x:c>
      <x:c r="B14" s="10" t="n">
        <x:v>13210</x:v>
      </x:c>
      <x:c r="C14" s="10" t="str">
        <x:v>Materiales Impresos cortesias, gafetes y atractivos</x:v>
      </x:c>
      <x:c r="D14" s="10" t="str">
        <x:v>Stalin Flores</x:v>
      </x:c>
      <x:c r="E14" s="10" t="str">
        <x:v>Stalin Flores</x:v>
      </x:c>
      <x:c r="F14" s="10" t="str">
        <x:v>Pendiente</x:v>
      </x:c>
      <x:c r="G14" s="23" t="n">
        <x:v>45943.51798611111</x:v>
      </x:c>
      <x:c r="H14" s="23"/>
      <x:c r="I14" s="23"/>
      <x:c r="J14" s="10" t="str"/>
      <x:c r="K14" s="10" t="str">
        <x:v>Diseño</x:v>
      </x:c>
      <x:c r="L14" s="10"/>
      <x:c r="M14" s="10" t="str">
        <x:v>F26-14-OPS</x:v>
      </x:c>
      <x:c r="N14" s="10" t="str">
        <x:v>Operación en sitio</x:v>
      </x:c>
      <x:c r="O14" s="10" t="str">
        <x:v>Credenciales, señalética, pantallas, espacios y materiales</x:v>
      </x:c>
      <x:c r="P14" s="10" t="str">
        <x:v>Convertir con control</x:v>
      </x:c>
      <x:c r="Q14" s="10" t="str">
        <x:v>Medio</x:v>
      </x:c>
      <x:c r="R14" s="10" t="str">
        <x:v>Producción — Iván (apellido por confirmar) + Leo Sailema</x:v>
      </x:c>
      <x:c r="S14" s="10" t="str">
        <x:v>Operación/seguridad + coordinación general</x:v>
      </x:c>
      <x:c r="T14" s="10" t="str">
        <x:v>Preparación final y vivo</x:v>
      </x:c>
      <x:c r="U14" s="10" t="str">
        <x:v>Plano final, inventario, medidas, responsables y prueba de montaje</x:v>
      </x:c>
      <x:c r="V14" s="10" t="str">
        <x:v>El cierre histórico no quedó completado. Plano final, inventario, medidas, responsables y prueba de montaje</x:v>
      </x:c>
      <x:c r="W14" s="10" t="str"/>
      <x:c r="X14" s="10" t="str">
        <x:v>No</x:v>
      </x:c>
      <x:c r="Y14" s="10" t="str">
        <x:f>IF(F14&lt;&gt;"Completada","Sin cierre",IF(OR(H14="",I14=""),"Sin dato",IF(I14&lt;=H14,"A tiempo","Tarde")))</x:f>
        <x:v>Sin cierre</x:v>
      </x:c>
      <x:c r="Z14" s="24" t="str">
        <x:f>IF(OR(G14="",H14=""),"",H14-G14)</x:f>
      </x:c>
    </x:row>
    <x:row r="15" ht="42" customHeight="1">
      <x:c r="A15" s="10" t="n">
        <x:v>14</x:v>
      </x:c>
      <x:c r="B15" s="10" t="n">
        <x:v>13212</x:v>
      </x:c>
      <x:c r="C15" s="10" t="str">
        <x:v>Impresión Gafetes</x:v>
      </x:c>
      <x:c r="D15" s="10" t="str">
        <x:v>Stalin Flores</x:v>
      </x:c>
      <x:c r="E15" s="10" t="str">
        <x:v>Stalin Flores</x:v>
      </x:c>
      <x:c r="F15" s="10" t="str">
        <x:v>Pendiente</x:v>
      </x:c>
      <x:c r="G15" s="23" t="n">
        <x:v>45943.52013888889</x:v>
      </x:c>
      <x:c r="H15" s="23" t="n">
        <x:v>45954.958333333336</x:v>
      </x:c>
      <x:c r="I15" s="23"/>
      <x:c r="J15" s="10" t="str"/>
      <x:c r="K15" s="10" t="str">
        <x:v>Diseño</x:v>
      </x:c>
      <x:c r="L15" s="10" t="n">
        <x:v>13210</x:v>
      </x:c>
      <x:c r="M15" s="10" t="str">
        <x:v>F26-14-OPS</x:v>
      </x:c>
      <x:c r="N15" s="10" t="str">
        <x:v>Operación en sitio</x:v>
      </x:c>
      <x:c r="O15" s="10" t="str">
        <x:v>Credenciales, señalética, pantallas, espacios y materiales</x:v>
      </x:c>
      <x:c r="P15" s="10" t="str">
        <x:v>Convertir con control</x:v>
      </x:c>
      <x:c r="Q15" s="10" t="str">
        <x:v>Medio</x:v>
      </x:c>
      <x:c r="R15" s="10" t="str">
        <x:v>Producción — Iván (apellido por confirmar) + Leo Sailema</x:v>
      </x:c>
      <x:c r="S15" s="10" t="str">
        <x:v>Operación/seguridad + coordinación general</x:v>
      </x:c>
      <x:c r="T15" s="10" t="str">
        <x:v>Preparación final y vivo</x:v>
      </x:c>
      <x:c r="U15" s="10" t="str">
        <x:v>Plano final, inventario, medidas, responsables y prueba de montaje</x:v>
      </x:c>
      <x:c r="V15" s="10" t="str">
        <x:v>El cierre histórico no quedó completado. Plano final, inventario, medidas, responsables y prueba de montaje</x:v>
      </x:c>
      <x:c r="W15" s="10" t="str">
        <x:v>Diseño actualizado e impresión de gafetes, Staff, Logística, Vip.</x:v>
      </x:c>
      <x:c r="X15" s="10" t="str">
        <x:v>No</x:v>
      </x:c>
      <x:c r="Y15" s="10" t="str">
        <x:f>IF(F15&lt;&gt;"Completada","Sin cierre",IF(OR(H15="",I15=""),"Sin dato",IF(I15&lt;=H15,"A tiempo","Tarde")))</x:f>
        <x:v>Sin cierre</x:v>
      </x:c>
      <x:c r="Z15" s="24" t="n">
        <x:f>IF(OR(G15="",H15=""),"",H15-G15)</x:f>
        <x:v>11.438194444446708</x:v>
      </x:c>
    </x:row>
    <x:row r="16" ht="42" customHeight="1">
      <x:c r="A16" s="10" t="n">
        <x:v>15</x:v>
      </x:c>
      <x:c r="B16" s="10" t="n">
        <x:v>13214</x:v>
      </x:c>
      <x:c r="C16" s="10" t="str">
        <x:v>Impresión Cortesías para ganadores de entradas conciertos.</x:v>
      </x:c>
      <x:c r="D16" s="10" t="str">
        <x:v>Stalin Flores</x:v>
      </x:c>
      <x:c r="E16" s="10" t="str">
        <x:v>Stalin Flores</x:v>
      </x:c>
      <x:c r="F16" s="10" t="str">
        <x:v>Completada</x:v>
      </x:c>
      <x:c r="G16" s="23" t="n">
        <x:v>45943.52116898148</x:v>
      </x:c>
      <x:c r="H16" s="23"/>
      <x:c r="I16" s="23" t="n">
        <x:v>45944.95689814815</x:v>
      </x:c>
      <x:c r="J16" s="10" t="str"/>
      <x:c r="K16" s="10" t="str">
        <x:v>Diseño</x:v>
      </x:c>
      <x:c r="L16" s="10" t="n">
        <x:v>13210</x:v>
      </x:c>
      <x:c r="M16" s="10" t="str">
        <x:v>F26-05-ENT</x:v>
      </x:c>
      <x:c r="N16" s="10" t="str">
        <x:v>Entradas y conversión</x:v>
      </x:c>
      <x:c r="O16" s="10" t="str">
        <x:v>Preventa, boletería, puntos y disponibilidad</x:v>
      </x:c>
      <x:c r="P16" s="10" t="str">
        <x:v>Convertir con control</x:v>
      </x:c>
      <x:c r="Q16" s="10" t="str">
        <x:v>Alto</x:v>
      </x:c>
      <x:c r="R16" s="10" t="str">
        <x:v>Dueño de entradas/comercial — por asignar</x:v>
      </x:c>
      <x:c r="S16" s="10" t="str">
        <x:v>Dirección + finanzas + operación</x:v>
      </x:c>
      <x:c r="T16" s="10" t="str">
        <x:v>Revelación y preventa</x:v>
      </x:c>
      <x:c r="U16" s="10" t="str">
        <x:v>Oferta, precios, aforo, términos, destino seguro y compra de prueba</x:v>
      </x:c>
      <x:c r="V16" s="10" t="str">
        <x:v>Oferta, precios, aforo, términos, destino seguro y compra de prueba</x:v>
      </x:c>
      <x:c r="W16" s="10" t="str"/>
      <x:c r="X16" s="10" t="str">
        <x:v>No</x:v>
      </x:c>
      <x:c r="Y16" s="10" t="str">
        <x:f>IF(F16&lt;&gt;"Completada","Sin cierre",IF(OR(H16="",I16=""),"Sin dato",IF(I16&lt;=H16,"A tiempo","Tarde")))</x:f>
        <x:v>Sin dato</x:v>
      </x:c>
      <x:c r="Z16" s="24" t="str">
        <x:f>IF(OR(G16="",H16=""),"",H16-G16)</x:f>
      </x:c>
    </x:row>
    <x:row r="17" ht="42" customHeight="1">
      <x:c r="A17" s="10" t="n">
        <x:v>16</x:v>
      </x:c>
      <x:c r="B17" s="10" t="n">
        <x:v>13218</x:v>
      </x:c>
      <x:c r="C17" s="10" t="str">
        <x:v>Diseño lonas para vallas de ingreso a localidades.</x:v>
      </x:c>
      <x:c r="D17" s="10" t="str">
        <x:v>Stalin Flores</x:v>
      </x:c>
      <x:c r="E17" s="10" t="str">
        <x:v>Edwin Naula</x:v>
      </x:c>
      <x:c r="F17" s="10" t="str">
        <x:v>Completada</x:v>
      </x:c>
      <x:c r="G17" s="23" t="n">
        <x:v>45943.52533564815</x:v>
      </x:c>
      <x:c r="H17" s="23" t="n">
        <x:v>45948.666666666664</x:v>
      </x:c>
      <x:c r="I17" s="23" t="n">
        <x:v>45947.84615740741</x:v>
      </x:c>
      <x:c r="J17" s="10" t="str">
        <x:v>Valery Paredes</x:v>
      </x:c>
      <x:c r="K17" s="10" t="str">
        <x:v>Diseño</x:v>
      </x:c>
      <x:c r="L17" s="10"/>
      <x:c r="M17" s="10" t="str">
        <x:v>F26-14-OPS</x:v>
      </x:c>
      <x:c r="N17" s="10" t="str">
        <x:v>Operación en sitio</x:v>
      </x:c>
      <x:c r="O17" s="10" t="str">
        <x:v>Credenciales, señalética, pantallas, espacios y materiales</x:v>
      </x:c>
      <x:c r="P17" s="10" t="str">
        <x:v>Convertir con control</x:v>
      </x:c>
      <x:c r="Q17" s="10" t="str">
        <x:v>Medio</x:v>
      </x:c>
      <x:c r="R17" s="10" t="str">
        <x:v>Producción — Iván (apellido por confirmar) + Leo Sailema</x:v>
      </x:c>
      <x:c r="S17" s="10" t="str">
        <x:v>Operación/seguridad + coordinación general</x:v>
      </x:c>
      <x:c r="T17" s="10" t="str">
        <x:v>Preparación final y vivo</x:v>
      </x:c>
      <x:c r="U17" s="10" t="str">
        <x:v>Plano final, inventario, medidas, responsables y prueba de montaje</x:v>
      </x:c>
      <x:c r="V17" s="10" t="str">
        <x:v>Plano final, inventario, medidas, responsables y prueba de montaje</x:v>
      </x:c>
      <x:c r="W17" s="10" t="str"/>
      <x:c r="X17" s="10" t="str">
        <x:v>No</x:v>
      </x:c>
      <x:c r="Y17" s="10" t="str">
        <x:f>IF(F17&lt;&gt;"Completada","Sin cierre",IF(OR(H17="",I17=""),"Sin dato",IF(I17&lt;=H17,"A tiempo","Tarde")))</x:f>
        <x:v>A tiempo</x:v>
      </x:c>
      <x:c r="Z17" s="24" t="n">
        <x:f>IF(OR(G17="",H17=""),"",H17-G17)</x:f>
        <x:v>5.141331018516212</x:v>
      </x:c>
    </x:row>
    <x:row r="18" ht="42" customHeight="1">
      <x:c r="A18" s="10" t="n">
        <x:v>17</x:v>
      </x:c>
      <x:c r="B18" s="10" t="n">
        <x:v>13220</x:v>
      </x:c>
      <x:c r="C18" s="10" t="str">
        <x:v>Chronopost</x:v>
      </x:c>
      <x:c r="D18" s="10" t="str">
        <x:v>Stalin Flores</x:v>
      </x:c>
      <x:c r="E18" s="10" t="str">
        <x:v>Stalin Flores</x:v>
      </x:c>
      <x:c r="F18" s="10" t="str">
        <x:v>Completada</x:v>
      </x:c>
      <x:c r="G18" s="23" t="n">
        <x:v>45943.550150462965</x:v>
      </x:c>
      <x:c r="H18" s="23"/>
      <x:c r="I18" s="23" t="n">
        <x:v>45946.67328703704</x:v>
      </x:c>
      <x:c r="J18" s="10" t="str">
        <x:v>Alex Naranjo, Pam Villa, Stalin Flores, Sonia Estrella</x:v>
      </x:c>
      <x:c r="K18" s="10" t="str"/>
      <x:c r="L18" s="10"/>
      <x:c r="M18" s="10" t="str">
        <x:v>F26-01-GOB</x:v>
      </x:c>
      <x:c r="N18" s="10" t="str">
        <x:v>Dirección y control</x:v>
      </x:c>
      <x:c r="O18" s="10" t="str">
        <x:v>Gobierno, planificación y aprobaciones</x:v>
      </x:c>
      <x:c r="P18" s="10" t="str">
        <x:v>Consolidar en paquete 2026</x:v>
      </x:c>
      <x:c r="Q18" s="10" t="str">
        <x:v>Medio</x:v>
      </x:c>
      <x:c r="R18" s="10" t="str">
        <x:v>Coordinación general de marketing — Edwin Masabanda</x:v>
      </x:c>
      <x:c r="S18" s="10" t="str">
        <x:v>Dirección de marketing — Andrés Naranjo</x:v>
      </x:c>
      <x:c r="T18" s="10" t="str">
        <x:v>Preparación interna</x:v>
      </x:c>
      <x:c r="U18" s="10" t="str">
        <x:v>RACI ratificado, fecha confirmada y fuente única vigente</x:v>
      </x:c>
      <x:c r="V18" s="10" t="str">
        <x:v>Evitar microtareas ad hoc; trabajar desde un brief, plantilla, dueño y fecha de aprobación.</x:v>
      </x:c>
      <x:c r="W18" s="10" t="str"/>
      <x:c r="X18" s="10" t="str">
        <x:v>No</x:v>
      </x:c>
      <x:c r="Y18" s="10" t="str">
        <x:f>IF(F18&lt;&gt;"Completada","Sin cierre",IF(OR(H18="",I18=""),"Sin dato",IF(I18&lt;=H18,"A tiempo","Tarde")))</x:f>
        <x:v>Sin dato</x:v>
      </x:c>
      <x:c r="Z18" s="24" t="str">
        <x:f>IF(OR(G18="",H18=""),"",H18-G18)</x:f>
      </x:c>
    </x:row>
    <x:row r="19" ht="42" customHeight="1">
      <x:c r="A19" s="10" t="n">
        <x:v>18</x:v>
      </x:c>
      <x:c r="B19" s="10" t="n">
        <x:v>13222</x:v>
      </x:c>
      <x:c r="C19" s="10" t="str">
        <x:v>Semana 13-19</x:v>
      </x:c>
      <x:c r="D19" s="10" t="str">
        <x:v>Stalin Flores</x:v>
      </x:c>
      <x:c r="E19" s="10" t="str">
        <x:v>Stalin Flores</x:v>
      </x:c>
      <x:c r="F19" s="10" t="str">
        <x:v>Completada</x:v>
      </x:c>
      <x:c r="G19" s="23" t="n">
        <x:v>45943.55443287037</x:v>
      </x:c>
      <x:c r="H19" s="23"/>
      <x:c r="I19" s="23" t="n">
        <x:v>45946.6733912037</x:v>
      </x:c>
      <x:c r="J19" s="10" t="str"/>
      <x:c r="K19" s="10" t="str"/>
      <x:c r="L19" s="10" t="n">
        <x:v>13220</x:v>
      </x:c>
      <x:c r="M19" s="10" t="str">
        <x:v>F26-01-GOB</x:v>
      </x:c>
      <x:c r="N19" s="10" t="str">
        <x:v>Dirección y control</x:v>
      </x:c>
      <x:c r="O19" s="10" t="str">
        <x:v>Gobierno, planificación y aprobaciones</x:v>
      </x:c>
      <x:c r="P19" s="10" t="str">
        <x:v>Consolidar en paquete 2026</x:v>
      </x:c>
      <x:c r="Q19" s="10" t="str">
        <x:v>Medio</x:v>
      </x:c>
      <x:c r="R19" s="10" t="str">
        <x:v>Coordinación general de marketing — Edwin Masabanda</x:v>
      </x:c>
      <x:c r="S19" s="10" t="str">
        <x:v>Dirección de marketing — Andrés Naranjo</x:v>
      </x:c>
      <x:c r="T19" s="10" t="str">
        <x:v>Preparación interna</x:v>
      </x:c>
      <x:c r="U19" s="10" t="str">
        <x:v>RACI ratificado, fecha confirmada y fuente única vigente</x:v>
      </x:c>
      <x:c r="V19" s="10" t="str">
        <x:v>Evitar microtareas ad hoc; trabajar desde un brief, plantilla, dueño y fecha de aprobación.</x:v>
      </x:c>
      <x:c r="W19" s="10" t="str"/>
      <x:c r="X19" s="10" t="str">
        <x:v>No</x:v>
      </x:c>
      <x:c r="Y19" s="10" t="str">
        <x:f>IF(F19&lt;&gt;"Completada","Sin cierre",IF(OR(H19="",I19=""),"Sin dato",IF(I19&lt;=H19,"A tiempo","Tarde")))</x:f>
        <x:v>Sin dato</x:v>
      </x:c>
      <x:c r="Z19" s="24" t="str">
        <x:f>IF(OR(G19="",H19=""),"",H19-G19)</x:f>
      </x:c>
    </x:row>
    <x:row r="20" ht="42" customHeight="1">
      <x:c r="A20" s="10" t="n">
        <x:v>19</x:v>
      </x:c>
      <x:c r="B20" s="10" t="n">
        <x:v>13224</x:v>
      </x:c>
      <x:c r="C20" s="10" t="str">
        <x:v>Semana 20-26</x:v>
      </x:c>
      <x:c r="D20" s="10" t="str">
        <x:v>Stalin Flores</x:v>
      </x:c>
      <x:c r="E20" s="10" t="str">
        <x:v>Stalin Flores</x:v>
      </x:c>
      <x:c r="F20" s="10" t="str">
        <x:v>Completada</x:v>
      </x:c>
      <x:c r="G20" s="23" t="n">
        <x:v>45943.55479166667</x:v>
      </x:c>
      <x:c r="H20" s="23"/>
      <x:c r="I20" s="23" t="n">
        <x:v>45946.673472222225</x:v>
      </x:c>
      <x:c r="J20" s="10" t="str"/>
      <x:c r="K20" s="10" t="str"/>
      <x:c r="L20" s="10" t="n">
        <x:v>13220</x:v>
      </x:c>
      <x:c r="M20" s="10" t="str">
        <x:v>F26-01-GOB</x:v>
      </x:c>
      <x:c r="N20" s="10" t="str">
        <x:v>Dirección y control</x:v>
      </x:c>
      <x:c r="O20" s="10" t="str">
        <x:v>Gobierno, planificación y aprobaciones</x:v>
      </x:c>
      <x:c r="P20" s="10" t="str">
        <x:v>Consolidar en paquete 2026</x:v>
      </x:c>
      <x:c r="Q20" s="10" t="str">
        <x:v>Medio</x:v>
      </x:c>
      <x:c r="R20" s="10" t="str">
        <x:v>Coordinación general de marketing — Edwin Masabanda</x:v>
      </x:c>
      <x:c r="S20" s="10" t="str">
        <x:v>Dirección de marketing — Andrés Naranjo</x:v>
      </x:c>
      <x:c r="T20" s="10" t="str">
        <x:v>Preparación interna</x:v>
      </x:c>
      <x:c r="U20" s="10" t="str">
        <x:v>RACI ratificado, fecha confirmada y fuente única vigente</x:v>
      </x:c>
      <x:c r="V20" s="10" t="str">
        <x:v>Evitar microtareas ad hoc; trabajar desde un brief, plantilla, dueño y fecha de aprobación.</x:v>
      </x:c>
      <x:c r="W20" s="10" t="str"/>
      <x:c r="X20" s="10" t="str">
        <x:v>No</x:v>
      </x:c>
      <x:c r="Y20" s="10" t="str">
        <x:f>IF(F20&lt;&gt;"Completada","Sin cierre",IF(OR(H20="",I20=""),"Sin dato",IF(I20&lt;=H20,"A tiempo","Tarde")))</x:f>
        <x:v>Sin dato</x:v>
      </x:c>
      <x:c r="Z20" s="24" t="str">
        <x:f>IF(OR(G20="",H20=""),"",H20-G20)</x:f>
      </x:c>
    </x:row>
    <x:row r="21" ht="42" customHeight="1">
      <x:c r="A21" s="10" t="n">
        <x:v>20</x:v>
      </x:c>
      <x:c r="B21" s="10" t="n">
        <x:v>13226</x:v>
      </x:c>
      <x:c r="C21" s="10" t="str">
        <x:v>Activaciones de Campo Producto Audiovisual</x:v>
      </x:c>
      <x:c r="D21" s="10" t="str">
        <x:v>Edwin Naula</x:v>
      </x:c>
      <x:c r="E21" s="10" t="str">
        <x:v>Edwin Naula</x:v>
      </x:c>
      <x:c r="F21" s="10" t="str">
        <x:v>Completada</x:v>
      </x:c>
      <x:c r="G21" s="23" t="n">
        <x:v>45943.56153935185</x:v>
      </x:c>
      <x:c r="H21" s="23" t="n">
        <x:v>45948.958333333336</x:v>
      </x:c>
      <x:c r="I21" s="23" t="n">
        <x:v>45949.062893518516</x:v>
      </x:c>
      <x:c r="J21" s="10" t="str">
        <x:v>Edwin Masa Sisa (identidad por confirmar)</x:v>
      </x:c>
      <x:c r="K21" s="10" t="str">
        <x:v>Multimedia</x:v>
      </x:c>
      <x:c r="L21" s="10"/>
      <x:c r="M21" s="10" t="str">
        <x:v>F26-11-ACT</x:v>
      </x:c>
      <x:c r="N21" s="10" t="str">
        <x:v>Activaciones territoriales</x:v>
      </x:c>
      <x:c r="O21" s="10" t="str">
        <x:v>Calle, estadio, perifoneo y alianzas de distribución</x:v>
      </x:c>
      <x:c r="P21" s="10" t="str">
        <x:v>Convertir con control</x:v>
      </x:c>
      <x:c r="Q21" s="10" t="str">
        <x:v>Medio</x:v>
      </x:c>
      <x:c r="R21" s="10" t="str">
        <x:v>Producción — Iván (apellido por confirmar) + comunicación</x:v>
      </x:c>
      <x:c r="S21" s="10" t="str">
        <x:v>Coordinación general + operación/seguridad</x:v>
      </x:c>
      <x:c r="T21" s="10" t="str">
        <x:v>Conversión</x:v>
      </x:c>
      <x:c r="U21" s="10" t="str">
        <x:v>Permisos, ruta, seguridad, materiales y medición definidos</x:v>
      </x:c>
      <x:c r="V21" s="10" t="str">
        <x:v>Permisos, ruta, seguridad, materiales y medición definidos</x:v>
      </x:c>
      <x:c r="W21" s="10" t="str">
        <x:v>se requiere fotos y video de la activacion en el estadio de mushuc runa en el entretiempo del partido MUSHUC RUNA VS VINOTINTO</x:v>
      </x:c>
      <x:c r="X21" s="10" t="str">
        <x:v>No</x:v>
      </x:c>
      <x:c r="Y21" s="10" t="str">
        <x:f>IF(F21&lt;&gt;"Completada","Sin cierre",IF(OR(H21="",I21=""),"Sin dato",IF(I21&lt;=H21,"A tiempo","Tarde")))</x:f>
        <x:v>Tarde</x:v>
      </x:c>
      <x:c r="Z21" s="24" t="n">
        <x:f>IF(OR(G21="",H21=""),"",H21-G21)</x:f>
        <x:v>5.396793981482915</x:v>
      </x:c>
    </x:row>
    <x:row r="22" ht="42" customHeight="1">
      <x:c r="A22" s="10" t="n">
        <x:v>21</x:v>
      </x:c>
      <x:c r="B22" s="10" t="n">
        <x:v>13228</x:v>
      </x:c>
      <x:c r="C22" s="10" t="str">
        <x:v>Pases para Atractivos</x:v>
      </x:c>
      <x:c r="D22" s="10" t="str">
        <x:v>Stalin Flores</x:v>
      </x:c>
      <x:c r="E22" s="10" t="str">
        <x:v>Stalin Flores</x:v>
      </x:c>
      <x:c r="F22" s="10" t="str">
        <x:v>Pendiente</x:v>
      </x:c>
      <x:c r="G22" s="23" t="n">
        <x:v>45943.56354166667</x:v>
      </x:c>
      <x:c r="H22" s="23"/>
      <x:c r="I22" s="23"/>
      <x:c r="J22" s="10" t="str"/>
      <x:c r="K22" s="10" t="str">
        <x:v>Multimedia</x:v>
      </x:c>
      <x:c r="L22" s="10" t="n">
        <x:v>13226</x:v>
      </x:c>
      <x:c r="M22" s="10" t="str">
        <x:v>F26-05-ENT</x:v>
      </x:c>
      <x:c r="N22" s="10" t="str">
        <x:v>Entradas y conversión</x:v>
      </x:c>
      <x:c r="O22" s="10" t="str">
        <x:v>Preventa, boletería, puntos y disponibilidad</x:v>
      </x:c>
      <x:c r="P22" s="10" t="str">
        <x:v>Convertir con control</x:v>
      </x:c>
      <x:c r="Q22" s="10" t="str">
        <x:v>Alto</x:v>
      </x:c>
      <x:c r="R22" s="10" t="str">
        <x:v>Dueño de entradas/comercial — por asignar</x:v>
      </x:c>
      <x:c r="S22" s="10" t="str">
        <x:v>Dirección + finanzas + operación</x:v>
      </x:c>
      <x:c r="T22" s="10" t="str">
        <x:v>Revelación y preventa</x:v>
      </x:c>
      <x:c r="U22" s="10" t="str">
        <x:v>Oferta, precios, aforo, términos, destino seguro y compra de prueba</x:v>
      </x:c>
      <x:c r="V22" s="10" t="str">
        <x:v>El cierre histórico no quedó completado. Oferta, precios, aforo, términos, destino seguro y compra de prueba</x:v>
      </x:c>
      <x:c r="W22" s="10" t="str"/>
      <x:c r="X22" s="10" t="str">
        <x:v>No</x:v>
      </x:c>
      <x:c r="Y22" s="10" t="str">
        <x:f>IF(F22&lt;&gt;"Completada","Sin cierre",IF(OR(H22="",I22=""),"Sin dato",IF(I22&lt;=H22,"A tiempo","Tarde")))</x:f>
        <x:v>Sin cierre</x:v>
      </x:c>
      <x:c r="Z22" s="24" t="str">
        <x:f>IF(OR(G22="",H22=""),"",H22-G22)</x:f>
      </x:c>
    </x:row>
    <x:row r="23" ht="42" customHeight="1">
      <x:c r="A23" s="10" t="n">
        <x:v>22</x:v>
      </x:c>
      <x:c r="B23" s="10" t="n">
        <x:v>13230</x:v>
      </x:c>
      <x:c r="C23" s="10" t="str">
        <x:v>Perifoneo</x:v>
      </x:c>
      <x:c r="D23" s="10" t="str">
        <x:v>Stalin Flores</x:v>
      </x:c>
      <x:c r="E23" s="10" t="str">
        <x:v>Stalin Flores</x:v>
      </x:c>
      <x:c r="F23" s="10" t="str">
        <x:v>Completada</x:v>
      </x:c>
      <x:c r="G23" s="23" t="n">
        <x:v>45943.564097222225</x:v>
      </x:c>
      <x:c r="H23" s="23"/>
      <x:c r="I23" s="23" t="n">
        <x:v>45944.71329861111</x:v>
      </x:c>
      <x:c r="J23" s="10" t="str">
        <x:v>Stalin Flores, Zeus Producciones</x:v>
      </x:c>
      <x:c r="K23" s="10" t="str"/>
      <x:c r="L23" s="10"/>
      <x:c r="M23" s="10" t="str">
        <x:v>F26-11-ACT</x:v>
      </x:c>
      <x:c r="N23" s="10" t="str">
        <x:v>Activaciones territoriales</x:v>
      </x:c>
      <x:c r="O23" s="10" t="str">
        <x:v>Calle, estadio, perifoneo y alianzas de distribución</x:v>
      </x:c>
      <x:c r="P23" s="10" t="str">
        <x:v>Convertir con control</x:v>
      </x:c>
      <x:c r="Q23" s="10" t="str">
        <x:v>Medio</x:v>
      </x:c>
      <x:c r="R23" s="10" t="str">
        <x:v>Producción — Iván (apellido por confirmar) + comunicación</x:v>
      </x:c>
      <x:c r="S23" s="10" t="str">
        <x:v>Coordinación general + operación/seguridad</x:v>
      </x:c>
      <x:c r="T23" s="10" t="str">
        <x:v>Conversión</x:v>
      </x:c>
      <x:c r="U23" s="10" t="str">
        <x:v>Permisos, ruta, seguridad, materiales y medición definidos</x:v>
      </x:c>
      <x:c r="V23" s="10" t="str">
        <x:v>Permisos, ruta, seguridad, materiales y medición definidos</x:v>
      </x:c>
      <x:c r="W23" s="10" t="str"/>
      <x:c r="X23" s="10" t="str">
        <x:v>No</x:v>
      </x:c>
      <x:c r="Y23" s="10" t="str">
        <x:f>IF(F23&lt;&gt;"Completada","Sin cierre",IF(OR(H23="",I23=""),"Sin dato",IF(I23&lt;=H23,"A tiempo","Tarde")))</x:f>
        <x:v>Sin dato</x:v>
      </x:c>
      <x:c r="Z23" s="24" t="str">
        <x:f>IF(OR(G23="",H23=""),"",H23-G23)</x:f>
      </x:c>
    </x:row>
    <x:row r="24" ht="42" customHeight="1">
      <x:c r="A24" s="10" t="n">
        <x:v>23</x:v>
      </x:c>
      <x:c r="B24" s="10" t="n">
        <x:v>13244</x:v>
      </x:c>
      <x:c r="C24" s="10" t="str">
        <x:v>Coordinación gira de medios Luis Alfonso Chanho</x:v>
      </x:c>
      <x:c r="D24" s="10" t="str">
        <x:v>Isabela Orozco</x:v>
      </x:c>
      <x:c r="E24" s="10" t="str">
        <x:v>Isabela Orozco</x:v>
      </x:c>
      <x:c r="F24" s="10" t="str">
        <x:v>Completada</x:v>
      </x:c>
      <x:c r="G24" s="23" t="n">
        <x:v>45943.61116898148</x:v>
      </x:c>
      <x:c r="H24" s="23"/>
      <x:c r="I24" s="23" t="n">
        <x:v>45950.963217592594</x:v>
      </x:c>
      <x:c r="J24" s="10" t="str">
        <x:v>Valery Paredes, Edwin Masa Sisa (identidad por confirmar)</x:v>
      </x:c>
      <x:c r="K24" s="10" t="str"/>
      <x:c r="L24" s="10"/>
      <x:c r="M24" s="10" t="str">
        <x:v>F26-10-PR</x:v>
      </x:c>
      <x:c r="N24" s="10" t="str">
        <x:v>Relaciones públicas</x:v>
      </x:c>
      <x:c r="O24" s="10" t="str">
        <x:v>Prensa, radios, giras y vocerías</x:v>
      </x:c>
      <x:c r="P24" s="10" t="str">
        <x:v>Convertir con control</x:v>
      </x:c>
      <x:c r="Q24" s="10" t="str">
        <x:v>Medio</x:v>
      </x:c>
      <x:c r="R24" s="10" t="str">
        <x:v>Relaciones públicas — Are Morales</x:v>
      </x:c>
      <x:c r="S24" s="10" t="str">
        <x:v>Dirección + vocero autorizado</x:v>
      </x:c>
      <x:c r="T24" s="10" t="str">
        <x:v>Revelación y conversión</x:v>
      </x:c>
      <x:c r="U24" s="10" t="str">
        <x:v>Mensajes, agenda, vocero, ficha factual y monitoreo aprobados</x:v>
      </x:c>
      <x:c r="V24" s="10" t="str">
        <x:v>Mensajes, agenda, vocero, ficha factual y monitoreo aprobados</x:v>
      </x:c>
      <x:c r="W24" s="10" t="str"/>
      <x:c r="X24" s="10" t="str">
        <x:v>No</x:v>
      </x:c>
      <x:c r="Y24" s="10" t="str">
        <x:f>IF(F24&lt;&gt;"Completada","Sin cierre",IF(OR(H24="",I24=""),"Sin dato",IF(I24&lt;=H24,"A tiempo","Tarde")))</x:f>
        <x:v>Sin dato</x:v>
      </x:c>
      <x:c r="Z24" s="24" t="str">
        <x:f>IF(OR(G24="",H24=""),"",H24-G24)</x:f>
      </x:c>
    </x:row>
    <x:row r="25" ht="42" customHeight="1">
      <x:c r="A25" s="10" t="n">
        <x:v>24</x:v>
      </x:c>
      <x:c r="B25" s="10" t="n">
        <x:v>13248</x:v>
      </x:c>
      <x:c r="C25" s="10" t="str">
        <x:v>Riobamba</x:v>
      </x:c>
      <x:c r="D25" s="10" t="str">
        <x:v>Isabela Orozco</x:v>
      </x:c>
      <x:c r="E25" s="10" t="str">
        <x:v>Isabela Orozco</x:v>
      </x:c>
      <x:c r="F25" s="10" t="str">
        <x:v>Completada</x:v>
      </x:c>
      <x:c r="G25" s="23" t="n">
        <x:v>45943.61837962963</x:v>
      </x:c>
      <x:c r="H25" s="23" t="n">
        <x:v>45951.958333333336</x:v>
      </x:c>
      <x:c r="I25" s="23" t="n">
        <x:v>45950.960856481484</x:v>
      </x:c>
      <x:c r="J25" s="10" t="str"/>
      <x:c r="K25" s="10" t="str"/>
      <x:c r="L25" s="10" t="n">
        <x:v>13244</x:v>
      </x:c>
      <x:c r="M25" s="10" t="str">
        <x:v>F26-10-PR</x:v>
      </x:c>
      <x:c r="N25" s="10" t="str">
        <x:v>Relaciones públicas</x:v>
      </x:c>
      <x:c r="O25" s="10" t="str">
        <x:v>Prensa, radios, giras y vocerías</x:v>
      </x:c>
      <x:c r="P25" s="10" t="str">
        <x:v>Convertir con control</x:v>
      </x:c>
      <x:c r="Q25" s="10" t="str">
        <x:v>Medio</x:v>
      </x:c>
      <x:c r="R25" s="10" t="str">
        <x:v>Relaciones públicas — Are Morales</x:v>
      </x:c>
      <x:c r="S25" s="10" t="str">
        <x:v>Dirección + vocero autorizado</x:v>
      </x:c>
      <x:c r="T25" s="10" t="str">
        <x:v>Revelación y conversión</x:v>
      </x:c>
      <x:c r="U25" s="10" t="str">
        <x:v>Mensajes, agenda, vocero, ficha factual y monitoreo aprobados</x:v>
      </x:c>
      <x:c r="V25" s="10" t="str">
        <x:v>Mensajes, agenda, vocero, ficha factual y monitoreo aprobados</x:v>
      </x:c>
      <x:c r="W25" s="10" t="str"/>
      <x:c r="X25" s="10" t="str">
        <x:v>No</x:v>
      </x:c>
      <x:c r="Y25" s="10" t="str">
        <x:f>IF(F25&lt;&gt;"Completada","Sin cierre",IF(OR(H25="",I25=""),"Sin dato",IF(I25&lt;=H25,"A tiempo","Tarde")))</x:f>
        <x:v>A tiempo</x:v>
      </x:c>
      <x:c r="Z25" s="24" t="n">
        <x:f>IF(OR(G25="",H25=""),"",H25-G25)</x:f>
        <x:v>8.33995370370394</x:v>
      </x:c>
    </x:row>
    <x:row r="26" ht="42" customHeight="1">
      <x:c r="A26" s="10" t="n">
        <x:v>25</x:v>
      </x:c>
      <x:c r="B26" s="10" t="n">
        <x:v>13370</x:v>
      </x:c>
      <x:c r="C26" s="10" t="str">
        <x:v>Quito</x:v>
      </x:c>
      <x:c r="D26" s="10" t="str">
        <x:v>Isabela Orozco</x:v>
      </x:c>
      <x:c r="E26" s="10" t="str">
        <x:v>Isabela Orozco</x:v>
      </x:c>
      <x:c r="F26" s="10" t="str">
        <x:v>Completada</x:v>
      </x:c>
      <x:c r="G26" s="23" t="n">
        <x:v>45945.63528935185</x:v>
      </x:c>
      <x:c r="H26" s="23"/>
      <x:c r="I26" s="23" t="n">
        <x:v>45947.59395833333</x:v>
      </x:c>
      <x:c r="J26" s="10" t="str"/>
      <x:c r="K26" s="10" t="str"/>
      <x:c r="L26" s="10" t="n">
        <x:v>13244</x:v>
      </x:c>
      <x:c r="M26" s="10" t="str">
        <x:v>F26-10-PR</x:v>
      </x:c>
      <x:c r="N26" s="10" t="str">
        <x:v>Relaciones públicas</x:v>
      </x:c>
      <x:c r="O26" s="10" t="str">
        <x:v>Prensa, radios, giras y vocerías</x:v>
      </x:c>
      <x:c r="P26" s="10" t="str">
        <x:v>Convertir con control</x:v>
      </x:c>
      <x:c r="Q26" s="10" t="str">
        <x:v>Medio</x:v>
      </x:c>
      <x:c r="R26" s="10" t="str">
        <x:v>Relaciones públicas — Are Morales</x:v>
      </x:c>
      <x:c r="S26" s="10" t="str">
        <x:v>Dirección + vocero autorizado</x:v>
      </x:c>
      <x:c r="T26" s="10" t="str">
        <x:v>Revelación y conversión</x:v>
      </x:c>
      <x:c r="U26" s="10" t="str">
        <x:v>Mensajes, agenda, vocero, ficha factual y monitoreo aprobados</x:v>
      </x:c>
      <x:c r="V26" s="10" t="str">
        <x:v>Mensajes, agenda, vocero, ficha factual y monitoreo aprobados</x:v>
      </x:c>
      <x:c r="W26" s="10" t="str"/>
      <x:c r="X26" s="10" t="str">
        <x:v>No</x:v>
      </x:c>
      <x:c r="Y26" s="10" t="str">
        <x:f>IF(F26&lt;&gt;"Completada","Sin cierre",IF(OR(H26="",I26=""),"Sin dato",IF(I26&lt;=H26,"A tiempo","Tarde")))</x:f>
        <x:v>Sin dato</x:v>
      </x:c>
      <x:c r="Z26" s="24" t="str">
        <x:f>IF(OR(G26="",H26=""),"",H26-G26)</x:f>
      </x:c>
    </x:row>
    <x:row r="27" ht="42" customHeight="1">
      <x:c r="A27" s="10" t="n">
        <x:v>26</x:v>
      </x:c>
      <x:c r="B27" s="10" t="n">
        <x:v>13258</x:v>
      </x:c>
      <x:c r="C27" s="10" t="str">
        <x:v>Publicitar con argentinos</x:v>
      </x:c>
      <x:c r="D27" s="10" t="str">
        <x:v>Edwin Naula</x:v>
      </x:c>
      <x:c r="E27" s="10" t="str">
        <x:v>Edwin Naula</x:v>
      </x:c>
      <x:c r="F27" s="10" t="str">
        <x:v>Completada</x:v>
      </x:c>
      <x:c r="G27" s="23" t="n">
        <x:v>45943.64309027778</x:v>
      </x:c>
      <x:c r="H27" s="23" t="n">
        <x:v>45947.958333333336</x:v>
      </x:c>
      <x:c r="I27" s="23" t="n">
        <x:v>45947.70686342593</x:v>
      </x:c>
      <x:c r="J27" s="10" t="str">
        <x:v>Isabela Orozco, Andrés Flores, Leo Sailema</x:v>
      </x:c>
      <x:c r="K27" s="10" t="str">
        <x:v>Estratégico, Multimedia, Diseño</x:v>
      </x:c>
      <x:c r="L27" s="10"/>
      <x:c r="M27" s="10" t="str">
        <x:v>F26-09-CREA</x:v>
      </x:c>
      <x:c r="N27" s="10" t="str">
        <x:v>Creadores y comunidad</x:v>
      </x:c>
      <x:c r="O27" s="10" t="str">
        <x:v>Influencers, embajadores y referidos</x:v>
      </x:c>
      <x:c r="P27" s="10" t="str">
        <x:v>Convertir con control</x:v>
      </x:c>
      <x:c r="Q27" s="10" t="str">
        <x:v>Medio</x:v>
      </x:c>
      <x:c r="R27" s="10" t="str">
        <x:v>Coordinación comunicación + relaciones públicas</x:v>
      </x:c>
      <x:c r="S27" s="10" t="str">
        <x:v>Dirección de marketing + legal/finanzas cuando aplique</x:v>
      </x:c>
      <x:c r="T27" s="10" t="str">
        <x:v>Expectativa y conversión</x:v>
      </x:c>
      <x:c r="U27" s="10" t="str">
        <x:v>Brief, derechos, selección, compensación fija y evidencia verificable</x:v>
      </x:c>
      <x:c r="V27" s="10" t="str">
        <x:v>Brief, derechos, selección, compensación fija y evidencia verificable</x:v>
      </x:c>
      <x:c r="W27" s="10" t="str">
        <x:v>Deseamos invitar a mujeres argentinas a participar y promover iniciativas con el objetivo de inspirar y motivar a los amantes de la cumbia en todo el país. Su participación será clave para transmitir mensajes positivos y fomentar el desarrollo cultural y la unión a través de este género musical tan representativo. ¡Únete a esta causa y sé parte del cambio!</x:v>
      </x:c>
      <x:c r="X27" s="10" t="str">
        <x:v>No</x:v>
      </x:c>
      <x:c r="Y27" s="10" t="str">
        <x:f>IF(F27&lt;&gt;"Completada","Sin cierre",IF(OR(H27="",I27=""),"Sin dato",IF(I27&lt;=H27,"A tiempo","Tarde")))</x:f>
        <x:v>A tiempo</x:v>
      </x:c>
      <x:c r="Z27" s="24" t="n">
        <x:f>IF(OR(G27="",H27=""),"",H27-G27)</x:f>
        <x:v>4.315243055556493</x:v>
      </x:c>
    </x:row>
    <x:row r="28" ht="42" customHeight="1">
      <x:c r="A28" s="10" t="n">
        <x:v>27</x:v>
      </x:c>
      <x:c r="B28" s="10" t="n">
        <x:v>13262</x:v>
      </x:c>
      <x:c r="C28" s="10" t="str">
        <x:v>Publireportaje</x:v>
      </x:c>
      <x:c r="D28" s="10" t="str">
        <x:v>Edwin Naula</x:v>
      </x:c>
      <x:c r="E28" s="10" t="str">
        <x:v>Stalin Flores</x:v>
      </x:c>
      <x:c r="F28" s="10" t="str">
        <x:v>Completada</x:v>
      </x:c>
      <x:c r="G28" s="23" t="n">
        <x:v>45943.71891203704</x:v>
      </x:c>
      <x:c r="H28" s="23" t="n">
        <x:v>45944.958333333336</x:v>
      </x:c>
      <x:c r="I28" s="23" t="n">
        <x:v>45944.97829861111</x:v>
      </x:c>
      <x:c r="J28" s="10" t="str">
        <x:v>Stalin Flores, Isabela Orozco</x:v>
      </x:c>
      <x:c r="K28" s="10" t="str"/>
      <x:c r="L28" s="10"/>
      <x:c r="M28" s="10" t="str">
        <x:v>F26-10-PR</x:v>
      </x:c>
      <x:c r="N28" s="10" t="str">
        <x:v>Relaciones públicas</x:v>
      </x:c>
      <x:c r="O28" s="10" t="str">
        <x:v>Prensa, radios, giras y vocerías</x:v>
      </x:c>
      <x:c r="P28" s="10" t="str">
        <x:v>Convertir con control</x:v>
      </x:c>
      <x:c r="Q28" s="10" t="str">
        <x:v>Medio</x:v>
      </x:c>
      <x:c r="R28" s="10" t="str">
        <x:v>Relaciones públicas — Are Morales</x:v>
      </x:c>
      <x:c r="S28" s="10" t="str">
        <x:v>Dirección + vocero autorizado</x:v>
      </x:c>
      <x:c r="T28" s="10" t="str">
        <x:v>Revelación y conversión</x:v>
      </x:c>
      <x:c r="U28" s="10" t="str">
        <x:v>Mensajes, agenda, vocero, ficha factual y monitoreo aprobados</x:v>
      </x:c>
      <x:c r="V28" s="10" t="str">
        <x:v>Mensajes, agenda, vocero, ficha factual y monitoreo aprobados</x:v>
      </x:c>
      <x:c r="W28" s="10" t="str">
        <x:v>1 Arte general con información de feria. 2 Fotografías y reportaje que hablen de la feria.</x:v>
      </x:c>
      <x:c r="X28" s="10" t="str">
        <x:v>No</x:v>
      </x:c>
      <x:c r="Y28" s="10" t="str">
        <x:f>IF(F28&lt;&gt;"Completada","Sin cierre",IF(OR(H28="",I28=""),"Sin dato",IF(I28&lt;=H28,"A tiempo","Tarde")))</x:f>
        <x:v>Tarde</x:v>
      </x:c>
      <x:c r="Z28" s="24" t="n">
        <x:f>IF(OR(G28="",H28=""),"",H28-G28)</x:f>
        <x:v>1.2394212962972233</x:v>
      </x:c>
    </x:row>
    <x:row r="29" ht="42" customHeight="1">
      <x:c r="A29" s="10" t="n">
        <x:v>28</x:v>
      </x:c>
      <x:c r="B29" s="10" t="n">
        <x:v>13264</x:v>
      </x:c>
      <x:c r="C29" s="10" t="str">
        <x:v>Subir los vídeos en Youtube</x:v>
      </x:c>
      <x:c r="D29" s="10" t="str">
        <x:v>Stalin Flores</x:v>
      </x:c>
      <x:c r="E29" s="10" t="str">
        <x:v>Stalin Flores</x:v>
      </x:c>
      <x:c r="F29" s="10" t="str">
        <x:v>Completada</x:v>
      </x:c>
      <x:c r="G29" s="23" t="n">
        <x:v>45943.73850694444</x:v>
      </x:c>
      <x:c r="H29" s="23" t="n">
        <x:v>45943.875</x:v>
      </x:c>
      <x:c r="I29" s="23" t="n">
        <x:v>45943.90663194445</x:v>
      </x:c>
      <x:c r="J29" s="10" t="str">
        <x:v>Pam Villa</x:v>
      </x:c>
      <x:c r="K29" s="10" t="str"/>
      <x:c r="L29" s="10"/>
      <x:c r="M29" s="10" t="str">
        <x:v>F26-15-PAID</x:v>
      </x:c>
      <x:c r="N29" s="10" t="str">
        <x:v>Pauta y medición</x:v>
      </x:c>
      <x:c r="O29" s="10" t="str">
        <x:v>Pauta social, tracking, audiencias y optimización</x:v>
      </x:c>
      <x:c r="P29" s="10" t="str">
        <x:v>Convertir con control</x:v>
      </x:c>
      <x:c r="Q29" s="10" t="str">
        <x:v>Alto</x:v>
      </x:c>
      <x:c r="R29" s="10" t="str">
        <x:v>Media buyer — vacante crítica</x:v>
      </x:c>
      <x:c r="S29" s="10" t="str">
        <x:v>Dirección de marketing + finanzas</x:v>
      </x:c>
      <x:c r="T29" s="10" t="str">
        <x:v>Expectativa a conversión</x:v>
      </x:c>
      <x:c r="U29" s="10" t="str">
        <x:v>Destino seguro, eventos medidos, UTMs, presupuesto y compra de prueba</x:v>
      </x:c>
      <x:c r="V29" s="10" t="str">
        <x:v>Destino seguro, eventos medidos, UTMs, presupuesto y compra de prueba</x:v>
      </x:c>
      <x:c r="W29" s="10" t="str">
        <x:v>Subir todos los vídeos desde la plataforma de Youtube, para generar las pautas.</x:v>
      </x:c>
      <x:c r="X29" s="10" t="str">
        <x:v>No</x:v>
      </x:c>
      <x:c r="Y29" s="10" t="str">
        <x:f>IF(F29&lt;&gt;"Completada","Sin cierre",IF(OR(H29="",I29=""),"Sin dato",IF(I29&lt;=H29,"A tiempo","Tarde")))</x:f>
        <x:v>Tarde</x:v>
      </x:c>
      <x:c r="Z29" s="24" t="n">
        <x:f>IF(OR(G29="",H29=""),"",H29-G29)</x:f>
        <x:v>0.13649305555736646</x:v>
      </x:c>
    </x:row>
    <x:row r="30" ht="42" customHeight="1">
      <x:c r="A30" s="10" t="n">
        <x:v>29</x:v>
      </x:c>
      <x:c r="B30" s="10" t="n">
        <x:v>13276</x:v>
      </x:c>
      <x:c r="C30" s="10" t="str">
        <x:v>Pases auspiciantes</x:v>
      </x:c>
      <x:c r="D30" s="10" t="str">
        <x:v>Sonia Estrella</x:v>
      </x:c>
      <x:c r="E30" s="10" t="str">
        <x:v>Sonia Estrella</x:v>
      </x:c>
      <x:c r="F30" s="10" t="str">
        <x:v>Completada</x:v>
      </x:c>
      <x:c r="G30" s="23" t="n">
        <x:v>45944.58710648148</x:v>
      </x:c>
      <x:c r="H30" s="23" t="n">
        <x:v>45947.958333333336</x:v>
      </x:c>
      <x:c r="I30" s="23" t="n">
        <x:v>45950.5765625</x:v>
      </x:c>
      <x:c r="J30" s="10" t="str"/>
      <x:c r="K30" s="10" t="str"/>
      <x:c r="L30" s="10"/>
      <x:c r="M30" s="10" t="str">
        <x:v>F26-03-PAT</x:v>
      </x:c>
      <x:c r="N30" s="10" t="str">
        <x:v>Patrocinios y aliados</x:v>
      </x:c>
      <x:c r="O30" s="10" t="str">
        <x:v>Auspiciantes: altas, activos, beneficios y evidencia</x:v>
      </x:c>
      <x:c r="P30" s="10" t="str">
        <x:v>Convertir con control</x:v>
      </x:c>
      <x:c r="Q30" s="10" t="str">
        <x:v>Medio</x:v>
      </x:c>
      <x:c r="R30" s="10" t="str">
        <x:v>Dueño de patrocinadores — por asignar</x:v>
      </x:c>
      <x:c r="S30" s="10" t="str">
        <x:v>Dirección + finanzas/comercial</x:v>
      </x:c>
      <x:c r="T30" s="10" t="str">
        <x:v>Revelación y preventa</x:v>
      </x:c>
      <x:c r="U30" s="10" t="str">
        <x:v>Contrato, inventario de beneficios y master de logos conciliados</x:v>
      </x:c>
      <x:c r="V30" s="10" t="str">
        <x:v>Contrato, inventario de beneficios y master de logos conciliados</x:v>
      </x:c>
      <x:c r="W30" s="10" t="str">
        <x:v>2 pases por auspiciantes Mecánica funcionamiento de contenido invitación Imagen Influencers</x:v>
      </x:c>
      <x:c r="X30" s="10" t="str">
        <x:v>No</x:v>
      </x:c>
      <x:c r="Y30" s="10" t="str">
        <x:f>IF(F30&lt;&gt;"Completada","Sin cierre",IF(OR(H30="",I30=""),"Sin dato",IF(I30&lt;=H30,"A tiempo","Tarde")))</x:f>
        <x:v>Tarde</x:v>
      </x:c>
      <x:c r="Z30" s="24" t="n">
        <x:f>IF(OR(G30="",H30=""),"",H30-G30)</x:f>
        <x:v>3.3712268518575</x:v>
      </x:c>
    </x:row>
    <x:row r="31" ht="42" customHeight="1">
      <x:c r="A31" s="10" t="n">
        <x:v>30</x:v>
      </x:c>
      <x:c r="B31" s="10" t="n">
        <x:v>13280</x:v>
      </x:c>
      <x:c r="C31" s="10" t="str">
        <x:v>Inauguración de Finados Mushuc Runa</x:v>
      </x:c>
      <x:c r="D31" s="10" t="str">
        <x:v>Stalin Flores</x:v>
      </x:c>
      <x:c r="E31" s="10" t="str">
        <x:v>Stalin Flores</x:v>
      </x:c>
      <x:c r="F31" s="10" t="str">
        <x:v>Pendiente</x:v>
      </x:c>
      <x:c r="G31" s="23" t="n">
        <x:v>45944.64340277778</x:v>
      </x:c>
      <x:c r="H31" s="23" t="n">
        <x:v>45952.645833333336</x:v>
      </x:c>
      <x:c r="I31" s="23"/>
      <x:c r="J31" s="10" t="str">
        <x:v>Pam Villa, Valery Paredes, Diego Flores (grafía por confirmar)</x:v>
      </x:c>
      <x:c r="K31" s="10" t="str"/>
      <x:c r="L31" s="10"/>
      <x:c r="M31" s="10" t="str">
        <x:v>F26-01-GOB</x:v>
      </x:c>
      <x:c r="N31" s="10" t="str">
        <x:v>Dirección y control</x:v>
      </x:c>
      <x:c r="O31" s="10" t="str">
        <x:v>Gobierno, planificación y aprobaciones</x:v>
      </x:c>
      <x:c r="P31" s="10" t="str">
        <x:v>Consolidar en paquete 2026</x:v>
      </x:c>
      <x:c r="Q31" s="10" t="str">
        <x:v>Medio</x:v>
      </x:c>
      <x:c r="R31" s="10" t="str">
        <x:v>Coordinación general de marketing — Edwin Masabanda</x:v>
      </x:c>
      <x:c r="S31" s="10" t="str">
        <x:v>Dirección de marketing — Andrés Naranjo</x:v>
      </x:c>
      <x:c r="T31" s="10" t="str">
        <x:v>Preparación interna</x:v>
      </x:c>
      <x:c r="U31" s="10" t="str">
        <x:v>RACI ratificado, fecha confirmada y fuente única vigente</x:v>
      </x:c>
      <x:c r="V31" s="10" t="str">
        <x:v>El cierre histórico no quedó completado. Evitar microtareas ad hoc; trabajar desde un brief, plantilla, dueño y fecha de aprobación.</x:v>
      </x:c>
      <x:c r="W31" s="10" t="str"/>
      <x:c r="X31" s="10" t="str">
        <x:v>No</x:v>
      </x:c>
      <x:c r="Y31" s="10" t="str">
        <x:f>IF(F31&lt;&gt;"Completada","Sin cierre",IF(OR(H31="",I31=""),"Sin dato",IF(I31&lt;=H31,"A tiempo","Tarde")))</x:f>
        <x:v>Sin cierre</x:v>
      </x:c>
      <x:c r="Z31" s="24" t="n">
        <x:f>IF(OR(G31="",H31=""),"",H31-G31)</x:f>
        <x:v>8.002430555556202</x:v>
      </x:c>
    </x:row>
    <x:row r="32" ht="42" customHeight="1">
      <x:c r="A32" s="10" t="n">
        <x:v>31</x:v>
      </x:c>
      <x:c r="B32" s="10" t="n">
        <x:v>13288</x:v>
      </x:c>
      <x:c r="C32" s="10" t="str">
        <x:v>Artes Plaza de la Luna</x:v>
      </x:c>
      <x:c r="D32" s="10" t="str">
        <x:v>Stalin Flores</x:v>
      </x:c>
      <x:c r="E32" s="10" t="str">
        <x:v>Stalin Flores</x:v>
      </x:c>
      <x:c r="F32" s="10" t="str">
        <x:v>Completada</x:v>
      </x:c>
      <x:c r="G32" s="23" t="n">
        <x:v>45944.653287037036</x:v>
      </x:c>
      <x:c r="H32" s="23"/>
      <x:c r="I32" s="23" t="n">
        <x:v>45944.65414351852</x:v>
      </x:c>
      <x:c r="J32" s="10" t="str">
        <x:v>Valery Paredes</x:v>
      </x:c>
      <x:c r="K32" s="10" t="str"/>
      <x:c r="L32" s="10"/>
      <x:c r="M32" s="10" t="str">
        <x:v>F26-02-MARCA</x:v>
      </x:c>
      <x:c r="N32" s="10" t="str">
        <x:v>Marca y creatividad</x:v>
      </x:c>
      <x:c r="O32" s="10" t="str">
        <x:v>Sistema visual y adaptaciones maestras</x:v>
      </x:c>
      <x:c r="P32" s="10" t="str">
        <x:v>Consolidar en paquete 2026</x:v>
      </x:c>
      <x:c r="Q32" s="10" t="str">
        <x:v>Medio</x:v>
      </x:c>
      <x:c r="R32" s="10" t="str">
        <x:v>Coordinación diseño/audiovisual — Andrés Naula</x:v>
      </x:c>
      <x:c r="S32" s="10" t="str">
        <x:v>Dirección de marketing + aprobación cultural/marca</x:v>
      </x:c>
      <x:c r="T32" s="10" t="str">
        <x:v>Preparación interna</x:v>
      </x:c>
      <x:c r="U32" s="10" t="str">
        <x:v>Plataforma ES TRADICIÓN y key visual aprobados</x:v>
      </x:c>
      <x:c r="V32" s="10" t="str">
        <x:v>Evitar microtareas ad hoc; trabajar desde un brief, plantilla, dueño y fecha de aprobación.</x:v>
      </x:c>
      <x:c r="W32" s="10" t="str"/>
      <x:c r="X32" s="10" t="str">
        <x:v>No</x:v>
      </x:c>
      <x:c r="Y32" s="10" t="str">
        <x:f>IF(F32&lt;&gt;"Completada","Sin cierre",IF(OR(H32="",I32=""),"Sin dato",IF(I32&lt;=H32,"A tiempo","Tarde")))</x:f>
        <x:v>Sin dato</x:v>
      </x:c>
      <x:c r="Z32" s="24" t="str">
        <x:f>IF(OR(G32="",H32=""),"",H32-G32)</x:f>
      </x:c>
    </x:row>
    <x:row r="33" ht="42" customHeight="1">
      <x:c r="A33" s="10" t="n">
        <x:v>32</x:v>
      </x:c>
      <x:c r="B33" s="10" t="n">
        <x:v>13290</x:v>
      </x:c>
      <x:c r="C33" s="10" t="str">
        <x:v>Revisar las radios en las que se esta difundiendo el contenido.</x:v>
      </x:c>
      <x:c r="D33" s="10" t="str">
        <x:v>Stalin Loaiza</x:v>
      </x:c>
      <x:c r="E33" s="10" t="str">
        <x:v>Alex Naranjo</x:v>
      </x:c>
      <x:c r="F33" s="10" t="str">
        <x:v>Completada</x:v>
      </x:c>
      <x:c r="G33" s="23" t="n">
        <x:v>45944.653912037036</x:v>
      </x:c>
      <x:c r="H33" s="23" t="n">
        <x:v>45948.958333333336</x:v>
      </x:c>
      <x:c r="I33" s="23" t="n">
        <x:v>45950.57962962963</x:v>
      </x:c>
      <x:c r="J33" s="10" t="str"/>
      <x:c r="K33" s="10" t="str">
        <x:v>Radios</x:v>
      </x:c>
      <x:c r="L33" s="10"/>
      <x:c r="M33" s="10" t="str">
        <x:v>F26-10-PR</x:v>
      </x:c>
      <x:c r="N33" s="10" t="str">
        <x:v>Relaciones públicas</x:v>
      </x:c>
      <x:c r="O33" s="10" t="str">
        <x:v>Prensa, radios, giras y vocerías</x:v>
      </x:c>
      <x:c r="P33" s="10" t="str">
        <x:v>Convertir con control</x:v>
      </x:c>
      <x:c r="Q33" s="10" t="str">
        <x:v>Medio</x:v>
      </x:c>
      <x:c r="R33" s="10" t="str">
        <x:v>Relaciones públicas — Are Morales</x:v>
      </x:c>
      <x:c r="S33" s="10" t="str">
        <x:v>Dirección + vocero autorizado</x:v>
      </x:c>
      <x:c r="T33" s="10" t="str">
        <x:v>Revelación y conversión</x:v>
      </x:c>
      <x:c r="U33" s="10" t="str">
        <x:v>Mensajes, agenda, vocero, ficha factual y monitoreo aprobados</x:v>
      </x:c>
      <x:c r="V33" s="10" t="str">
        <x:v>Mensajes, agenda, vocero, ficha factual y monitoreo aprobados</x:v>
      </x:c>
      <x:c r="W33" s="10" t="str"/>
      <x:c r="X33" s="10" t="str">
        <x:v>No</x:v>
      </x:c>
      <x:c r="Y33" s="10" t="str">
        <x:f>IF(F33&lt;&gt;"Completada","Sin cierre",IF(OR(H33="",I33=""),"Sin dato",IF(I33&lt;=H33,"A tiempo","Tarde")))</x:f>
        <x:v>Tarde</x:v>
      </x:c>
      <x:c r="Z33" s="24" t="n">
        <x:f>IF(OR(G33="",H33=""),"",H33-G33)</x:f>
        <x:v>4.304421296299552</x:v>
      </x:c>
    </x:row>
    <x:row r="34" ht="42" customHeight="1">
      <x:c r="A34" s="10" t="n">
        <x:v>33</x:v>
      </x:c>
      <x:c r="B34" s="10" t="n">
        <x:v>13292</x:v>
      </x:c>
      <x:c r="C34" s="10" t="str">
        <x:v>Arte Plaza del Sol</x:v>
      </x:c>
      <x:c r="D34" s="10" t="str">
        <x:v>Stalin Flores</x:v>
      </x:c>
      <x:c r="E34" s="10" t="str">
        <x:v>Stalin Flores</x:v>
      </x:c>
      <x:c r="F34" s="10" t="str">
        <x:v>Completada</x:v>
      </x:c>
      <x:c r="G34" s="23" t="n">
        <x:v>45944.654444444444</x:v>
      </x:c>
      <x:c r="H34" s="23"/>
      <x:c r="I34" s="23" t="n">
        <x:v>45944.65480324074</x:v>
      </x:c>
      <x:c r="J34" s="10" t="str">
        <x:v>Valery Paredes</x:v>
      </x:c>
      <x:c r="K34" s="10" t="str"/>
      <x:c r="L34" s="10"/>
      <x:c r="M34" s="10" t="str">
        <x:v>F26-02-MARCA</x:v>
      </x:c>
      <x:c r="N34" s="10" t="str">
        <x:v>Marca y creatividad</x:v>
      </x:c>
      <x:c r="O34" s="10" t="str">
        <x:v>Sistema visual y adaptaciones maestras</x:v>
      </x:c>
      <x:c r="P34" s="10" t="str">
        <x:v>Consolidar en paquete 2026</x:v>
      </x:c>
      <x:c r="Q34" s="10" t="str">
        <x:v>Medio</x:v>
      </x:c>
      <x:c r="R34" s="10" t="str">
        <x:v>Coordinación diseño/audiovisual — Andrés Naula</x:v>
      </x:c>
      <x:c r="S34" s="10" t="str">
        <x:v>Dirección de marketing + aprobación cultural/marca</x:v>
      </x:c>
      <x:c r="T34" s="10" t="str">
        <x:v>Preparación interna</x:v>
      </x:c>
      <x:c r="U34" s="10" t="str">
        <x:v>Plataforma ES TRADICIÓN y key visual aprobados</x:v>
      </x:c>
      <x:c r="V34" s="10" t="str">
        <x:v>Evitar microtareas ad hoc; trabajar desde un brief, plantilla, dueño y fecha de aprobación.</x:v>
      </x:c>
      <x:c r="W34" s="10" t="str"/>
      <x:c r="X34" s="10" t="str">
        <x:v>No</x:v>
      </x:c>
      <x:c r="Y34" s="10" t="str">
        <x:f>IF(F34&lt;&gt;"Completada","Sin cierre",IF(OR(H34="",I34=""),"Sin dato",IF(I34&lt;=H34,"A tiempo","Tarde")))</x:f>
        <x:v>Sin dato</x:v>
      </x:c>
      <x:c r="Z34" s="24" t="str">
        <x:f>IF(OR(G34="",H34=""),"",H34-G34)</x:f>
      </x:c>
    </x:row>
    <x:row r="35" ht="42" customHeight="1">
      <x:c r="A35" s="10" t="n">
        <x:v>34</x:v>
      </x:c>
      <x:c r="B35" s="10" t="n">
        <x:v>13300</x:v>
      </x:c>
      <x:c r="C35" s="10" t="str">
        <x:v>Tríptico de Feria</x:v>
      </x:c>
      <x:c r="D35" s="10" t="str">
        <x:v>Stalin Flores</x:v>
      </x:c>
      <x:c r="E35" s="10" t="str">
        <x:v>Stalin Flores</x:v>
      </x:c>
      <x:c r="F35" s="10" t="str">
        <x:v>Completada</x:v>
      </x:c>
      <x:c r="G35" s="23" t="n">
        <x:v>45944.65945601852</x:v>
      </x:c>
      <x:c r="H35" s="23" t="n">
        <x:v>45955.958333333336</x:v>
      </x:c>
      <x:c r="I35" s="23" t="n">
        <x:v>45958.56601851852</x:v>
      </x:c>
      <x:c r="J35" s="10" t="str">
        <x:v>Stalin Flores</x:v>
      </x:c>
      <x:c r="K35" s="10" t="str"/>
      <x:c r="L35" s="10"/>
      <x:c r="M35" s="10" t="str">
        <x:v>F26-02-MARCA</x:v>
      </x:c>
      <x:c r="N35" s="10" t="str">
        <x:v>Marca y creatividad</x:v>
      </x:c>
      <x:c r="O35" s="10" t="str">
        <x:v>Sistema visual y adaptaciones maestras</x:v>
      </x:c>
      <x:c r="P35" s="10" t="str">
        <x:v>Consolidar en paquete 2026</x:v>
      </x:c>
      <x:c r="Q35" s="10" t="str">
        <x:v>Medio</x:v>
      </x:c>
      <x:c r="R35" s="10" t="str">
        <x:v>Coordinación diseño/audiovisual — Andrés Naula</x:v>
      </x:c>
      <x:c r="S35" s="10" t="str">
        <x:v>Dirección de marketing + aprobación cultural/marca</x:v>
      </x:c>
      <x:c r="T35" s="10" t="str">
        <x:v>Preparación interna</x:v>
      </x:c>
      <x:c r="U35" s="10" t="str">
        <x:v>Plataforma ES TRADICIÓN y key visual aprobados</x:v>
      </x:c>
      <x:c r="V35" s="10" t="str">
        <x:v>Evitar microtareas ad hoc; trabajar desde un brief, plantilla, dueño y fecha de aprobación.</x:v>
      </x:c>
      <x:c r="W35" s="10" t="str"/>
      <x:c r="X35" s="10" t="str">
        <x:v>No</x:v>
      </x:c>
      <x:c r="Y35" s="10" t="str">
        <x:f>IF(F35&lt;&gt;"Completada","Sin cierre",IF(OR(H35="",I35=""),"Sin dato",IF(I35&lt;=H35,"A tiempo","Tarde")))</x:f>
        <x:v>Tarde</x:v>
      </x:c>
      <x:c r="Z35" s="24" t="n">
        <x:f>IF(OR(G35="",H35=""),"",H35-G35)</x:f>
        <x:v>11.298877314817219</x:v>
      </x:c>
    </x:row>
    <x:row r="36" ht="42" customHeight="1">
      <x:c r="A36" s="10" t="n">
        <x:v>35</x:v>
      </x:c>
      <x:c r="B36" s="10" t="n">
        <x:v>13304</x:v>
      </x:c>
      <x:c r="C36" s="10" t="str">
        <x:v>Diseño Dummys para Activaciones</x:v>
      </x:c>
      <x:c r="D36" s="10" t="str">
        <x:v>Stalin Flores</x:v>
      </x:c>
      <x:c r="E36" s="10" t="str">
        <x:v>Stalin Flores</x:v>
      </x:c>
      <x:c r="F36" s="10" t="str">
        <x:v>Completada</x:v>
      </x:c>
      <x:c r="G36" s="23" t="n">
        <x:v>45944.66081018518</x:v>
      </x:c>
      <x:c r="H36" s="23"/>
      <x:c r="I36" s="23" t="n">
        <x:v>45944.904386574075</x:v>
      </x:c>
      <x:c r="J36" s="10" t="str">
        <x:v>Valery Paredes</x:v>
      </x:c>
      <x:c r="K36" s="10" t="str"/>
      <x:c r="L36" s="10"/>
      <x:c r="M36" s="10" t="str">
        <x:v>F26-11-ACT</x:v>
      </x:c>
      <x:c r="N36" s="10" t="str">
        <x:v>Activaciones territoriales</x:v>
      </x:c>
      <x:c r="O36" s="10" t="str">
        <x:v>Calle, estadio, perifoneo y alianzas de distribución</x:v>
      </x:c>
      <x:c r="P36" s="10" t="str">
        <x:v>Convertir con control</x:v>
      </x:c>
      <x:c r="Q36" s="10" t="str">
        <x:v>Medio</x:v>
      </x:c>
      <x:c r="R36" s="10" t="str">
        <x:v>Producción — Iván (apellido por confirmar) + comunicación</x:v>
      </x:c>
      <x:c r="S36" s="10" t="str">
        <x:v>Coordinación general + operación/seguridad</x:v>
      </x:c>
      <x:c r="T36" s="10" t="str">
        <x:v>Conversión</x:v>
      </x:c>
      <x:c r="U36" s="10" t="str">
        <x:v>Permisos, ruta, seguridad, materiales y medición definidos</x:v>
      </x:c>
      <x:c r="V36" s="10" t="str">
        <x:v>Permisos, ruta, seguridad, materiales y medición definidos</x:v>
      </x:c>
      <x:c r="W36" s="10" t="str"/>
      <x:c r="X36" s="10" t="str">
        <x:v>No</x:v>
      </x:c>
      <x:c r="Y36" s="10" t="str">
        <x:f>IF(F36&lt;&gt;"Completada","Sin cierre",IF(OR(H36="",I36=""),"Sin dato",IF(I36&lt;=H36,"A tiempo","Tarde")))</x:f>
        <x:v>Sin dato</x:v>
      </x:c>
      <x:c r="Z36" s="24" t="str">
        <x:f>IF(OR(G36="",H36=""),"",H36-G36)</x:f>
      </x:c>
    </x:row>
    <x:row r="37" ht="42" customHeight="1">
      <x:c r="A37" s="10" t="n">
        <x:v>36</x:v>
      </x:c>
      <x:c r="B37" s="10" t="n">
        <x:v>13308</x:v>
      </x:c>
      <x:c r="C37" s="10" t="str">
        <x:v>Sorteo de entradas</x:v>
      </x:c>
      <x:c r="D37" s="10" t="str">
        <x:v>Stalin Loaiza</x:v>
      </x:c>
      <x:c r="E37" s="10" t="str">
        <x:v>Alex Naranjo</x:v>
      </x:c>
      <x:c r="F37" s="10" t="str">
        <x:v>Completada</x:v>
      </x:c>
      <x:c r="G37" s="23" t="n">
        <x:v>45944.66509259259</x:v>
      </x:c>
      <x:c r="H37" s="23" t="n">
        <x:v>45948.958333333336</x:v>
      </x:c>
      <x:c r="I37" s="23" t="n">
        <x:v>45950.57784722222</x:v>
      </x:c>
      <x:c r="J37" s="10" t="str"/>
      <x:c r="K37" s="10" t="str">
        <x:v>Radios</x:v>
      </x:c>
      <x:c r="L37" s="10"/>
      <x:c r="M37" s="10" t="str">
        <x:v>F26-05-ENT</x:v>
      </x:c>
      <x:c r="N37" s="10" t="str">
        <x:v>Entradas y conversión</x:v>
      </x:c>
      <x:c r="O37" s="10" t="str">
        <x:v>Preventa, boletería, puntos y disponibilidad</x:v>
      </x:c>
      <x:c r="P37" s="10" t="str">
        <x:v>Convertir con control</x:v>
      </x:c>
      <x:c r="Q37" s="10" t="str">
        <x:v>Alto</x:v>
      </x:c>
      <x:c r="R37" s="10" t="str">
        <x:v>Dueño de entradas/comercial — por asignar</x:v>
      </x:c>
      <x:c r="S37" s="10" t="str">
        <x:v>Dirección + finanzas + operación</x:v>
      </x:c>
      <x:c r="T37" s="10" t="str">
        <x:v>Revelación y preventa</x:v>
      </x:c>
      <x:c r="U37" s="10" t="str">
        <x:v>Oferta, precios, aforo, términos, destino seguro y compra de prueba</x:v>
      </x:c>
      <x:c r="V37" s="10" t="str">
        <x:v>Oferta, precios, aforo, términos, destino seguro y compra de prueba</x:v>
      </x:c>
      <x:c r="W37" s="10" t="str">
        <x:v>Gestionar para sortear las entradas en la radio</x:v>
      </x:c>
      <x:c r="X37" s="10" t="str">
        <x:v>No</x:v>
      </x:c>
      <x:c r="Y37" s="10" t="str">
        <x:f>IF(F37&lt;&gt;"Completada","Sin cierre",IF(OR(H37="",I37=""),"Sin dato",IF(I37&lt;=H37,"A tiempo","Tarde")))</x:f>
        <x:v>Tarde</x:v>
      </x:c>
      <x:c r="Z37" s="24" t="n">
        <x:f>IF(OR(G37="",H37=""),"",H37-G37)</x:f>
        <x:v>4.293240740742476</x:v>
      </x:c>
    </x:row>
    <x:row r="38" ht="42" customHeight="1">
      <x:c r="A38" s="10" t="n">
        <x:v>37</x:v>
      </x:c>
      <x:c r="B38" s="10" t="n">
        <x:v>13310</x:v>
      </x:c>
      <x:c r="C38" s="10" t="str">
        <x:v>Saludos</x:v>
      </x:c>
      <x:c r="D38" s="10" t="str">
        <x:v>Edwin Naula</x:v>
      </x:c>
      <x:c r="E38" s="10" t="str">
        <x:v>Edwin Naula</x:v>
      </x:c>
      <x:c r="F38" s="10" t="str">
        <x:v>Completada</x:v>
      </x:c>
      <x:c r="G38" s="23" t="n">
        <x:v>45944.666655092595</x:v>
      </x:c>
      <x:c r="H38" s="23" t="n">
        <x:v>45949.958333333336</x:v>
      </x:c>
      <x:c r="I38" s="23" t="n">
        <x:v>45948.554293981484</x:v>
      </x:c>
      <x:c r="J38" s="10" t="str">
        <x:v>Pam Villa</x:v>
      </x:c>
      <x:c r="K38" s="10" t="str">
        <x:v>RRSS</x:v>
      </x:c>
      <x:c r="L38" s="10"/>
      <x:c r="M38" s="10" t="str">
        <x:v>F26-07-SHOW</x:v>
      </x:c>
      <x:c r="N38" s="10" t="str">
        <x:v>Programación y marketing</x:v>
      </x:c>
      <x:c r="O38" s="10" t="str">
        <x:v>Shows, artistas y programación bajo embargo</x:v>
      </x:c>
      <x:c r="P38" s="10" t="str">
        <x:v>Convertir con control</x:v>
      </x:c>
      <x:c r="Q38" s="10" t="str">
        <x:v>Alto</x:v>
      </x:c>
      <x:c r="R38" s="10" t="str">
        <x:v>Programación + coordinación comunicación</x:v>
      </x:c>
      <x:c r="S38" s="10" t="str">
        <x:v>Dirección + programación + derechos</x:v>
      </x:c>
      <x:c r="T38" s="10" t="str">
        <x:v>Revelación y conversión</x:v>
      </x:c>
      <x:c r="U38" s="10" t="str">
        <x:v>Contrato, grafía, día, horario, derechos, embargo y oferta confirmados</x:v>
      </x:c>
      <x:c r="V38" s="10" t="str">
        <x:v>Contrato, grafía, día, horario, derechos, embargo y oferta confirmados</x:v>
      </x:c>
      <x:c r="W38" s="10" t="str"/>
      <x:c r="X38" s="10" t="str">
        <x:v>No</x:v>
      </x:c>
      <x:c r="Y38" s="10" t="str">
        <x:f>IF(F38&lt;&gt;"Completada","Sin cierre",IF(OR(H38="",I38=""),"Sin dato",IF(I38&lt;=H38,"A tiempo","Tarde")))</x:f>
        <x:v>A tiempo</x:v>
      </x:c>
      <x:c r="Z38" s="24" t="n">
        <x:f>IF(OR(G38="",H38=""),"",H38-G38)</x:f>
        <x:v>5.291678240741021</x:v>
      </x:c>
    </x:row>
    <x:row r="39" ht="42" customHeight="1">
      <x:c r="A39" s="10" t="n">
        <x:v>38</x:v>
      </x:c>
      <x:c r="B39" s="10" t="n">
        <x:v>13312</x:v>
      </x:c>
      <x:c r="C39" s="10" t="str">
        <x:v>Post con canciones</x:v>
      </x:c>
      <x:c r="D39" s="10" t="str">
        <x:v>Edwin Naula</x:v>
      </x:c>
      <x:c r="E39" s="10" t="str">
        <x:v>Edwin Naula</x:v>
      </x:c>
      <x:c r="F39" s="10" t="str">
        <x:v>Completada</x:v>
      </x:c>
      <x:c r="G39" s="23" t="n">
        <x:v>45944.67320601852</x:v>
      </x:c>
      <x:c r="H39" s="23" t="n">
        <x:v>45948.958333333336</x:v>
      </x:c>
      <x:c r="I39" s="23" t="n">
        <x:v>45948.619780092595</x:v>
      </x:c>
      <x:c r="J39" s="10" t="str">
        <x:v>Pam Villa, Diego Flores (grafía por confirmar)</x:v>
      </x:c>
      <x:c r="K39" s="10" t="str">
        <x:v>RRSS</x:v>
      </x:c>
      <x:c r="L39" s="10"/>
      <x:c r="M39" s="10" t="str">
        <x:v>F26-07-SHOW</x:v>
      </x:c>
      <x:c r="N39" s="10" t="str">
        <x:v>Programación y marketing</x:v>
      </x:c>
      <x:c r="O39" s="10" t="str">
        <x:v>Shows, artistas y programación bajo embargo</x:v>
      </x:c>
      <x:c r="P39" s="10" t="str">
        <x:v>Convertir con control</x:v>
      </x:c>
      <x:c r="Q39" s="10" t="str">
        <x:v>Alto</x:v>
      </x:c>
      <x:c r="R39" s="10" t="str">
        <x:v>Programación + coordinación comunicación</x:v>
      </x:c>
      <x:c r="S39" s="10" t="str">
        <x:v>Dirección + programación + derechos</x:v>
      </x:c>
      <x:c r="T39" s="10" t="str">
        <x:v>Revelación y conversión</x:v>
      </x:c>
      <x:c r="U39" s="10" t="str">
        <x:v>Contrato, grafía, día, horario, derechos, embargo y oferta confirmados</x:v>
      </x:c>
      <x:c r="V39" s="10" t="str">
        <x:v>Contrato, grafía, día, horario, derechos, embargo y oferta confirmados</x:v>
      </x:c>
      <x:c r="W39" s="10" t="str">
        <x:v>Crear tres videos semana Video 1: [URL OMITIDA]</x:v>
      </x:c>
      <x:c r="X39" s="10" t="str">
        <x:v>Sí</x:v>
      </x:c>
      <x:c r="Y39" s="10" t="str">
        <x:f>IF(F39&lt;&gt;"Completada","Sin cierre",IF(OR(H39="",I39=""),"Sin dato",IF(I39&lt;=H39,"A tiempo","Tarde")))</x:f>
        <x:v>A tiempo</x:v>
      </x:c>
      <x:c r="Z39" s="24" t="n">
        <x:f>IF(OR(G39="",H39=""),"",H39-G39)</x:f>
        <x:v>4.285127314818965</x:v>
      </x:c>
    </x:row>
    <x:row r="40" ht="42" customHeight="1">
      <x:c r="A40" s="10" t="n">
        <x:v>39</x:v>
      </x:c>
      <x:c r="B40" s="10" t="n">
        <x:v>13320</x:v>
      </x:c>
      <x:c r="C40" s="10" t="str">
        <x:v>Spot de herbet vargas</x:v>
      </x:c>
      <x:c r="D40" s="10" t="str">
        <x:v>Stalin Loaiza</x:v>
      </x:c>
      <x:c r="E40" s="10" t="str">
        <x:v>Alex Naranjo</x:v>
      </x:c>
      <x:c r="F40" s="10" t="str">
        <x:v>Completada</x:v>
      </x:c>
      <x:c r="G40" s="23" t="n">
        <x:v>45944.67810185185</x:v>
      </x:c>
      <x:c r="H40" s="23" t="n">
        <x:v>45944.958333333336</x:v>
      </x:c>
      <x:c r="I40" s="23" t="n">
        <x:v>45945.62684027778</x:v>
      </x:c>
      <x:c r="J40" s="10" t="str"/>
      <x:c r="K40" s="10" t="str"/>
      <x:c r="L40" s="10"/>
      <x:c r="M40" s="10" t="str">
        <x:v>F26-10-PR</x:v>
      </x:c>
      <x:c r="N40" s="10" t="str">
        <x:v>Relaciones públicas</x:v>
      </x:c>
      <x:c r="O40" s="10" t="str">
        <x:v>Prensa, radios, giras y vocerías</x:v>
      </x:c>
      <x:c r="P40" s="10" t="str">
        <x:v>Convertir con control</x:v>
      </x:c>
      <x:c r="Q40" s="10" t="str">
        <x:v>Medio</x:v>
      </x:c>
      <x:c r="R40" s="10" t="str">
        <x:v>Relaciones públicas — Are Morales</x:v>
      </x:c>
      <x:c r="S40" s="10" t="str">
        <x:v>Dirección + vocero autorizado</x:v>
      </x:c>
      <x:c r="T40" s="10" t="str">
        <x:v>Revelación y conversión</x:v>
      </x:c>
      <x:c r="U40" s="10" t="str">
        <x:v>Mensajes, agenda, vocero, ficha factual y monitoreo aprobados</x:v>
      </x:c>
      <x:c r="V40" s="10" t="str">
        <x:v>Mensajes, agenda, vocero, ficha factual y monitoreo aprobados</x:v>
      </x:c>
      <x:c r="W40" s="10" t="str"/>
      <x:c r="X40" s="10" t="str">
        <x:v>No</x:v>
      </x:c>
      <x:c r="Y40" s="10" t="str">
        <x:f>IF(F40&lt;&gt;"Completada","Sin cierre",IF(OR(H40="",I40=""),"Sin dato",IF(I40&lt;=H40,"A tiempo","Tarde")))</x:f>
        <x:v>Tarde</x:v>
      </x:c>
      <x:c r="Z40" s="24" t="n">
        <x:f>IF(OR(G40="",H40=""),"",H40-G40)</x:f>
        <x:v>0.2802314814834972</x:v>
      </x:c>
    </x:row>
    <x:row r="41" ht="42" customHeight="1">
      <x:c r="A41" s="10" t="n">
        <x:v>40</x:v>
      </x:c>
      <x:c r="B41" s="10" t="n">
        <x:v>13322</x:v>
      </x:c>
      <x:c r="C41" s="10" t="str">
        <x:v>Redes sociales</x:v>
      </x:c>
      <x:c r="D41" s="10" t="str">
        <x:v>Edwin Naula</x:v>
      </x:c>
      <x:c r="E41" s="10" t="str">
        <x:v>Edwin Naula</x:v>
      </x:c>
      <x:c r="F41" s="10" t="str">
        <x:v>Completada</x:v>
      </x:c>
      <x:c r="G41" s="23" t="n">
        <x:v>45944.67821759259</x:v>
      </x:c>
      <x:c r="H41" s="23" t="n">
        <x:v>45952.958333333336</x:v>
      </x:c>
      <x:c r="I41" s="23" t="n">
        <x:v>45950.69998842593</x:v>
      </x:c>
      <x:c r="J41" s="10" t="str">
        <x:v>Pam Villa, Zeus Producciones, Edwin Naula</x:v>
      </x:c>
      <x:c r="K41" s="10" t="str"/>
      <x:c r="L41" s="10"/>
      <x:c r="M41" s="10" t="str">
        <x:v>F26-06-CONT</x:v>
      </x:c>
      <x:c r="N41" s="10" t="str">
        <x:v>Marketing y comunicación</x:v>
      </x:c>
      <x:c r="O41" s="10" t="str">
        <x:v>Sistema editorial, redes y piezas recurrentes</x:v>
      </x:c>
      <x:c r="P41" s="10" t="str">
        <x:v>Consolidar en paquete 2026</x:v>
      </x:c>
      <x:c r="Q41" s="10" t="str">
        <x:v>Medio</x:v>
      </x:c>
      <x:c r="R41" s="10" t="str">
        <x:v>Coordinación comunicación — Andrés (apellido por confirmar)</x:v>
      </x:c>
      <x:c r="S41" s="10" t="str">
        <x:v>Dirección de marketing — Andrés Naranjo</x:v>
      </x:c>
      <x:c r="T41" s="10" t="str">
        <x:v>Expectativa y conversión</x:v>
      </x:c>
      <x:c r="U41" s="10" t="str">
        <x:v>Brief, fuente vigente, CTA verificable y QA antes de publicar</x:v>
      </x:c>
      <x:c r="V41" s="10" t="str">
        <x:v>Evitar microtareas ad hoc; trabajar desde un brief, plantilla, dueño y fecha de aprobación.</x:v>
      </x:c>
      <x:c r="W41" s="10" t="str"/>
      <x:c r="X41" s="10" t="str">
        <x:v>No</x:v>
      </x:c>
      <x:c r="Y41" s="10" t="str">
        <x:f>IF(F41&lt;&gt;"Completada","Sin cierre",IF(OR(H41="",I41=""),"Sin dato",IF(I41&lt;=H41,"A tiempo","Tarde")))</x:f>
        <x:v>A tiempo</x:v>
      </x:c>
      <x:c r="Z41" s="24" t="n">
        <x:f>IF(OR(G41="",H41=""),"",H41-G41)</x:f>
        <x:v>8.280115740744804</x:v>
      </x:c>
    </x:row>
    <x:row r="42" ht="42" customHeight="1">
      <x:c r="A42" s="10" t="n">
        <x:v>41</x:v>
      </x:c>
      <x:c r="B42" s="10" t="n">
        <x:v>13324</x:v>
      </x:c>
      <x:c r="C42" s="10" t="str">
        <x:v>Entrevista con la lolita</x:v>
      </x:c>
      <x:c r="D42" s="10" t="str">
        <x:v>Zeus Producciones</x:v>
      </x:c>
      <x:c r="E42" s="10" t="str">
        <x:v>Zeus Producciones</x:v>
      </x:c>
      <x:c r="F42" s="10" t="str">
        <x:v>Completada</x:v>
      </x:c>
      <x:c r="G42" s="23" t="n">
        <x:v>45944.68310185185</x:v>
      </x:c>
      <x:c r="H42" s="23" t="n">
        <x:v>45947.958333333336</x:v>
      </x:c>
      <x:c r="I42" s="23" t="n">
        <x:v>45950.57770833333</x:v>
      </x:c>
      <x:c r="J42" s="10" t="str"/>
      <x:c r="K42" s="10" t="str"/>
      <x:c r="L42" s="10" t="n">
        <x:v>13322</x:v>
      </x:c>
      <x:c r="M42" s="10" t="str">
        <x:v>F26-09-CREA</x:v>
      </x:c>
      <x:c r="N42" s="10" t="str">
        <x:v>Creadores y comunidad</x:v>
      </x:c>
      <x:c r="O42" s="10" t="str">
        <x:v>Influencers, embajadores y referidos</x:v>
      </x:c>
      <x:c r="P42" s="10" t="str">
        <x:v>Convertir con control</x:v>
      </x:c>
      <x:c r="Q42" s="10" t="str">
        <x:v>Medio</x:v>
      </x:c>
      <x:c r="R42" s="10" t="str">
        <x:v>Coordinación comunicación + relaciones públicas</x:v>
      </x:c>
      <x:c r="S42" s="10" t="str">
        <x:v>Dirección de marketing + legal/finanzas cuando aplique</x:v>
      </x:c>
      <x:c r="T42" s="10" t="str">
        <x:v>Expectativa y conversión</x:v>
      </x:c>
      <x:c r="U42" s="10" t="str">
        <x:v>Brief, derechos, selección, compensación fija y evidencia verificable</x:v>
      </x:c>
      <x:c r="V42" s="10" t="str">
        <x:v>Brief, derechos, selección, compensación fija y evidencia verificable</x:v>
      </x:c>
      <x:c r="W42" s="10" t="str">
        <x:v>capturar la atencion de una audiencia apalancados de la influencia del personaje "la lolita" que se presentara como ancord en un formato de programa de entrevista ireverente y a tono ligero comico con el ab luis alfonso chango mentos de la 5ta feria fiandos 2025 donde se pondra en practica dinamicas relacionadas con los atractivos de feria y juegos tradicionales el programa se llamaria "una rayuela con la lolita"que se emitira po la pagina ofical de feria finados tic toc y la pagina oficias de mushuc tv en facebook y youtube. se debera cordinar elementos u objetos que den realce a la conversacion ejemplo : trompo, tiza para dibujar una rayuela, colada morada y guaguas de pan etc. lugar: parque montalvo ext. del parquerequerimiento tecnico mushuc live la lolita pagina de finados tick toc fecha 17/10/2025 lugar Studio de mushuc tv 5to piso edificio matriz Mushuc Runa hora 17:00 recepcion de guion literario personal descripcion de actividad productor / jefe de piso leonardo sailema alinea el contenido, enlista las actividades según el guin literario y dirigeel programa y la conversacion jefe tecnico ivan solano direccion tecnica de stage, equipamento, coordinación de requerimientos con productor y logistica logistica - logistica sillas externo/s llevar las sillas, colocar en el set, recoger y llevar las sillas de retorno logistica mesa externo/s llevar mesa, colocar la mesa en el set, lleavar la mesa de retorno sonidista / microfonia externo preparacion de equipos, movilizacion, armado en set, master switch Andres Naula direccion de camaras camara 1 william mungabusi armado y supervision de camaras roboticas via red camara 2 william mungabusi supervisado y soporte camara 3 william mungabusi supervisado y soporte operador de drone externo conexión de drone operación y almacenamiento tramoya - logistica iluminacion externo lleavar las luces, colocar las luces, asistencia tecnica en set, recoger y retornar asitente tecnico externo armado de equipos conexiones de red e internet calibracion de camaras ajuste de señáles en tiempo real presentador la lolita recibe el guion investiga al invitado y ejecuta la entrevista presencia del jefe isabel orosco gestiona y certifica la presencia de jefe en sitio almenos 20 min antes de la transmicion voz en off alejandro flores interniene en la bienvenida y durante todo el programa con temas de conversa ireverentes internet provee cordinador o tecnico gestion de punto de internet dedicado de 100 megas simetrico logistica coordinación artistica /invitados estalin loaiza contacta y confirma invitados, influencer o Artista y gestiona catering para invitados y equipo</x:v>
      </x:c>
      <x:c r="X42" s="10" t="str">
        <x:v>No</x:v>
      </x:c>
      <x:c r="Y42" s="10" t="str">
        <x:f>IF(F42&lt;&gt;"Completada","Sin cierre",IF(OR(H42="",I42=""),"Sin dato",IF(I42&lt;=H42,"A tiempo","Tarde")))</x:f>
        <x:v>Tarde</x:v>
      </x:c>
      <x:c r="Z42" s="24" t="n">
        <x:f>IF(OR(G42="",H42=""),"",H42-G42)</x:f>
        <x:v>3.2752314814861165</x:v>
      </x:c>
    </x:row>
    <x:row r="43" ht="42" customHeight="1">
      <x:c r="A43" s="10" t="n">
        <x:v>42</x:v>
      </x:c>
      <x:c r="B43" s="10" t="n">
        <x:v>13326</x:v>
      </x:c>
      <x:c r="C43" s="10" t="str">
        <x:v>Post de la lolita</x:v>
      </x:c>
      <x:c r="D43" s="10" t="str">
        <x:v>Edwin Naula</x:v>
      </x:c>
      <x:c r="E43" s="10" t="str">
        <x:v>Edwin Naula</x:v>
      </x:c>
      <x:c r="F43" s="10" t="str">
        <x:v>Completada</x:v>
      </x:c>
      <x:c r="G43" s="23" t="n">
        <x:v>45944.68409722222</x:v>
      </x:c>
      <x:c r="H43" s="23" t="n">
        <x:v>45946.875</x:v>
      </x:c>
      <x:c r="I43" s="23" t="n">
        <x:v>45946.799722222226</x:v>
      </x:c>
      <x:c r="J43" s="10" t="str"/>
      <x:c r="K43" s="10" t="str"/>
      <x:c r="L43" s="10" t="n">
        <x:v>13324</x:v>
      </x:c>
      <x:c r="M43" s="10" t="str">
        <x:v>F26-09-CREA</x:v>
      </x:c>
      <x:c r="N43" s="10" t="str">
        <x:v>Creadores y comunidad</x:v>
      </x:c>
      <x:c r="O43" s="10" t="str">
        <x:v>Influencers, embajadores y referidos</x:v>
      </x:c>
      <x:c r="P43" s="10" t="str">
        <x:v>Convertir con control</x:v>
      </x:c>
      <x:c r="Q43" s="10" t="str">
        <x:v>Medio</x:v>
      </x:c>
      <x:c r="R43" s="10" t="str">
        <x:v>Coordinación comunicación + relaciones públicas</x:v>
      </x:c>
      <x:c r="S43" s="10" t="str">
        <x:v>Dirección de marketing + legal/finanzas cuando aplique</x:v>
      </x:c>
      <x:c r="T43" s="10" t="str">
        <x:v>Expectativa y conversión</x:v>
      </x:c>
      <x:c r="U43" s="10" t="str">
        <x:v>Brief, derechos, selección, compensación fija y evidencia verificable</x:v>
      </x:c>
      <x:c r="V43" s="10" t="str">
        <x:v>Brief, derechos, selección, compensación fija y evidencia verificable</x:v>
      </x:c>
      <x:c r="W43" s="10" t="str">
        <x:v>Post de entrevista en exclusiva la lolita y el abogado tema: "una rayuela con la lolita" fecha: viernes 17 de octubre de 2025 hora: 18:00pm lugar: CAFETERIA DE LA CCE NÚCLEO DE TUNGURAHUA</x:v>
      </x:c>
      <x:c r="X43" s="10" t="str">
        <x:v>No</x:v>
      </x:c>
      <x:c r="Y43" s="10" t="str">
        <x:f>IF(F43&lt;&gt;"Completada","Sin cierre",IF(OR(H43="",I43=""),"Sin dato",IF(I43&lt;=H43,"A tiempo","Tarde")))</x:f>
        <x:v>A tiempo</x:v>
      </x:c>
      <x:c r="Z43" s="24" t="n">
        <x:f>IF(OR(G43="",H43=""),"",H43-G43)</x:f>
        <x:v>2.1909027777801384</x:v>
      </x:c>
    </x:row>
    <x:row r="44" ht="42" customHeight="1">
      <x:c r="A44" s="10" t="n">
        <x:v>43</x:v>
      </x:c>
      <x:c r="B44" s="10" t="n">
        <x:v>13328</x:v>
      </x:c>
      <x:c r="C44" s="10" t="str">
        <x:v>Post show canino</x:v>
      </x:c>
      <x:c r="D44" s="10" t="str">
        <x:v>Edwin Naula</x:v>
      </x:c>
      <x:c r="E44" s="10" t="str">
        <x:v>Edwin Naula</x:v>
      </x:c>
      <x:c r="F44" s="10" t="str">
        <x:v>Completada</x:v>
      </x:c>
      <x:c r="G44" s="23" t="n">
        <x:v>45944.68719907408</x:v>
      </x:c>
      <x:c r="H44" s="23" t="n">
        <x:v>45946.958333333336</x:v>
      </x:c>
      <x:c r="I44" s="23" t="n">
        <x:v>45946.618368055555</x:v>
      </x:c>
      <x:c r="J44" s="10" t="str"/>
      <x:c r="K44" s="10" t="str"/>
      <x:c r="L44" s="10" t="n">
        <x:v>13322</x:v>
      </x:c>
      <x:c r="M44" s="10" t="str">
        <x:v>F26-07-SHOW</x:v>
      </x:c>
      <x:c r="N44" s="10" t="str">
        <x:v>Programación y marketing</x:v>
      </x:c>
      <x:c r="O44" s="10" t="str">
        <x:v>Shows, artistas y programación bajo embargo</x:v>
      </x:c>
      <x:c r="P44" s="10" t="str">
        <x:v>Convertir con control</x:v>
      </x:c>
      <x:c r="Q44" s="10" t="str">
        <x:v>Alto</x:v>
      </x:c>
      <x:c r="R44" s="10" t="str">
        <x:v>Programación + coordinación comunicación</x:v>
      </x:c>
      <x:c r="S44" s="10" t="str">
        <x:v>Dirección + programación + derechos</x:v>
      </x:c>
      <x:c r="T44" s="10" t="str">
        <x:v>Revelación y conversión</x:v>
      </x:c>
      <x:c r="U44" s="10" t="str">
        <x:v>Contrato, grafía, día, horario, derechos, embargo y oferta confirmados</x:v>
      </x:c>
      <x:c r="V44" s="10" t="str">
        <x:v>Contrato, grafía, día, horario, derechos, embargo y oferta confirmados</x:v>
      </x:c>
      <x:c r="W44" s="10" t="str"/>
      <x:c r="X44" s="10" t="str">
        <x:v>No</x:v>
      </x:c>
      <x:c r="Y44" s="10" t="str">
        <x:f>IF(F44&lt;&gt;"Completada","Sin cierre",IF(OR(H44="",I44=""),"Sin dato",IF(I44&lt;=H44,"A tiempo","Tarde")))</x:f>
        <x:v>A tiempo</x:v>
      </x:c>
      <x:c r="Z44" s="24" t="n">
        <x:f>IF(OR(G44="",H44=""),"",H44-G44)</x:f>
        <x:v>2.27113425925927</x:v>
      </x:c>
    </x:row>
    <x:row r="45" ht="42" customHeight="1">
      <x:c r="A45" s="10" t="n">
        <x:v>44</x:v>
      </x:c>
      <x:c r="B45" s="10" t="n">
        <x:v>13330</x:v>
      </x:c>
      <x:c r="C45" s="10" t="str">
        <x:v>Saludo de Hebert Vargas</x:v>
      </x:c>
      <x:c r="D45" s="10" t="str">
        <x:v>Edwin Naula</x:v>
      </x:c>
      <x:c r="E45" s="10" t="str">
        <x:v>Alex Naranjo</x:v>
      </x:c>
      <x:c r="F45" s="10" t="str">
        <x:v>Completada</x:v>
      </x:c>
      <x:c r="G45" s="23" t="n">
        <x:v>45944.6884375</x:v>
      </x:c>
      <x:c r="H45" s="23" t="n">
        <x:v>45944.729166666664</x:v>
      </x:c>
      <x:c r="I45" s="23" t="n">
        <x:v>45944.752222222225</x:v>
      </x:c>
      <x:c r="J45" s="10" t="str"/>
      <x:c r="K45" s="10" t="str"/>
      <x:c r="L45" s="10" t="n">
        <x:v>13322</x:v>
      </x:c>
      <x:c r="M45" s="10" t="str">
        <x:v>F26-07-SHOW</x:v>
      </x:c>
      <x:c r="N45" s="10" t="str">
        <x:v>Programación y marketing</x:v>
      </x:c>
      <x:c r="O45" s="10" t="str">
        <x:v>Shows, artistas y programación bajo embargo</x:v>
      </x:c>
      <x:c r="P45" s="10" t="str">
        <x:v>Convertir con control</x:v>
      </x:c>
      <x:c r="Q45" s="10" t="str">
        <x:v>Alto</x:v>
      </x:c>
      <x:c r="R45" s="10" t="str">
        <x:v>Programación + coordinación comunicación</x:v>
      </x:c>
      <x:c r="S45" s="10" t="str">
        <x:v>Dirección + programación + derechos</x:v>
      </x:c>
      <x:c r="T45" s="10" t="str">
        <x:v>Revelación y conversión</x:v>
      </x:c>
      <x:c r="U45" s="10" t="str">
        <x:v>Contrato, grafía, día, horario, derechos, embargo y oferta confirmados</x:v>
      </x:c>
      <x:c r="V45" s="10" t="str">
        <x:v>Contrato, grafía, día, horario, derechos, embargo y oferta confirmados</x:v>
      </x:c>
      <x:c r="W45" s="10" t="str"/>
      <x:c r="X45" s="10" t="str">
        <x:v>No</x:v>
      </x:c>
      <x:c r="Y45" s="10" t="str">
        <x:f>IF(F45&lt;&gt;"Completada","Sin cierre",IF(OR(H45="",I45=""),"Sin dato",IF(I45&lt;=H45,"A tiempo","Tarde")))</x:f>
        <x:v>Tarde</x:v>
      </x:c>
      <x:c r="Z45" s="24" t="n">
        <x:f>IF(OR(G45="",H45=""),"",H45-G45)</x:f>
        <x:v>0.04072916666336823</x:v>
      </x:c>
    </x:row>
    <x:row r="46" ht="42" customHeight="1">
      <x:c r="A46" s="10" t="n">
        <x:v>45</x:v>
      </x:c>
      <x:c r="B46" s="10" t="n">
        <x:v>13332</x:v>
      </x:c>
      <x:c r="C46" s="10" t="str">
        <x:v>Saludo de Adriana Lucia</x:v>
      </x:c>
      <x:c r="D46" s="10" t="str">
        <x:v>Edwin Naula</x:v>
      </x:c>
      <x:c r="E46" s="10" t="str">
        <x:v>Edwin Naula</x:v>
      </x:c>
      <x:c r="F46" s="10" t="str">
        <x:v>Completada</x:v>
      </x:c>
      <x:c r="G46" s="23" t="n">
        <x:v>45944.69028935185</x:v>
      </x:c>
      <x:c r="H46" s="23" t="n">
        <x:v>45948.708333333336</x:v>
      </x:c>
      <x:c r="I46" s="23" t="n">
        <x:v>45947.84600694444</x:v>
      </x:c>
      <x:c r="J46" s="10" t="str"/>
      <x:c r="K46" s="10" t="str"/>
      <x:c r="L46" s="10" t="n">
        <x:v>13322</x:v>
      </x:c>
      <x:c r="M46" s="10" t="str">
        <x:v>F26-07-SHOW</x:v>
      </x:c>
      <x:c r="N46" s="10" t="str">
        <x:v>Programación y marketing</x:v>
      </x:c>
      <x:c r="O46" s="10" t="str">
        <x:v>Shows, artistas y programación bajo embargo</x:v>
      </x:c>
      <x:c r="P46" s="10" t="str">
        <x:v>Convertir con control</x:v>
      </x:c>
      <x:c r="Q46" s="10" t="str">
        <x:v>Alto</x:v>
      </x:c>
      <x:c r="R46" s="10" t="str">
        <x:v>Programación + coordinación comunicación</x:v>
      </x:c>
      <x:c r="S46" s="10" t="str">
        <x:v>Dirección + programación + derechos</x:v>
      </x:c>
      <x:c r="T46" s="10" t="str">
        <x:v>Revelación y conversión</x:v>
      </x:c>
      <x:c r="U46" s="10" t="str">
        <x:v>Contrato, grafía, día, horario, derechos, embargo y oferta confirmados</x:v>
      </x:c>
      <x:c r="V46" s="10" t="str">
        <x:v>Contrato, grafía, día, horario, derechos, embargo y oferta confirmados</x:v>
      </x:c>
      <x:c r="W46" s="10" t="str"/>
      <x:c r="X46" s="10" t="str">
        <x:v>No</x:v>
      </x:c>
      <x:c r="Y46" s="10" t="str">
        <x:f>IF(F46&lt;&gt;"Completada","Sin cierre",IF(OR(H46="",I46=""),"Sin dato",IF(I46&lt;=H46,"A tiempo","Tarde")))</x:f>
        <x:v>A tiempo</x:v>
      </x:c>
      <x:c r="Z46" s="24" t="n">
        <x:f>IF(OR(G46="",H46=""),"",H46-G46)</x:f>
        <x:v>4.018043981486699</x:v>
      </x:c>
    </x:row>
    <x:row r="47" ht="42" customHeight="1">
      <x:c r="A47" s="10" t="n">
        <x:v>46</x:v>
      </x:c>
      <x:c r="B47" s="10" t="n">
        <x:v>13334</x:v>
      </x:c>
      <x:c r="C47" s="10" t="str">
        <x:v>Vota rey pan Mosquito Mosquera</x:v>
      </x:c>
      <x:c r="D47" s="10" t="str">
        <x:v>Edwin Naula</x:v>
      </x:c>
      <x:c r="E47" s="10" t="str">
        <x:v>Edwin Naula</x:v>
      </x:c>
      <x:c r="F47" s="10" t="str">
        <x:v>Completada</x:v>
      </x:c>
      <x:c r="G47" s="23" t="n">
        <x:v>45944.69168981481</x:v>
      </x:c>
      <x:c r="H47" s="23" t="n">
        <x:v>45944.958333333336</x:v>
      </x:c>
      <x:c r="I47" s="23" t="n">
        <x:v>45944.98017361111</x:v>
      </x:c>
      <x:c r="J47" s="10" t="str"/>
      <x:c r="K47" s="10" t="str"/>
      <x:c r="L47" s="10" t="n">
        <x:v>13322</x:v>
      </x:c>
      <x:c r="M47" s="10" t="str">
        <x:v>F26-08-TRAD</x:v>
      </x:c>
      <x:c r="N47" s="10" t="str">
        <x:v>Experiencia y cultura</x:v>
      </x:c>
      <x:c r="O47" s="10" t="str">
        <x:v>Tradición, concursos, rituales y cinco jornadas</x:v>
      </x:c>
      <x:c r="P47" s="10" t="str">
        <x:v>Rediseñar</x:v>
      </x:c>
      <x:c r="Q47" s="10" t="str">
        <x:v>Alto</x:v>
      </x:c>
      <x:c r="R47" s="10" t="str">
        <x:v>Experiencia + aprobación cultural — por asignar</x:v>
      </x:c>
      <x:c r="S47" s="10" t="str">
        <x:v>Dirección + comunidad/cultura + operación</x:v>
      </x:c>
      <x:c r="T47" s="10" t="str">
        <x:v>Expectativa y experiencia</x:v>
      </x:c>
      <x:c r="U47" s="10" t="str">
        <x:v>Validación cultural, reglas, capacidad y operación documentadas</x:v>
      </x:c>
      <x:c r="V47" s="10" t="str">
        <x:v>Evitar que la interacción social sea el único criterio; usar registro propio, jurado, antifraude y viabilidad operativa.</x:v>
      </x:c>
      <x:c r="W47" s="10" t="str"/>
      <x:c r="X47" s="10" t="str">
        <x:v>No</x:v>
      </x:c>
      <x:c r="Y47" s="10" t="str">
        <x:f>IF(F47&lt;&gt;"Completada","Sin cierre",IF(OR(H47="",I47=""),"Sin dato",IF(I47&lt;=H47,"A tiempo","Tarde")))</x:f>
        <x:v>Tarde</x:v>
      </x:c>
      <x:c r="Z47" s="24" t="n">
        <x:f>IF(OR(G47="",H47=""),"",H47-G47)</x:f>
        <x:v>0.26664351852377877</x:v>
      </x:c>
    </x:row>
    <x:row r="48" ht="42" customHeight="1">
      <x:c r="A48" s="10" t="n">
        <x:v>47</x:v>
      </x:c>
      <x:c r="B48" s="10" t="n">
        <x:v>13336</x:v>
      </x:c>
      <x:c r="C48" s="10" t="str">
        <x:v>POSTEO EULER CAICEDO EN EL COMPLEJO</x:v>
      </x:c>
      <x:c r="D48" s="10" t="str">
        <x:v>Stalin Flores</x:v>
      </x:c>
      <x:c r="E48" s="10" t="str">
        <x:v>Edwin Naula</x:v>
      </x:c>
      <x:c r="F48" s="10" t="str">
        <x:v>Completada</x:v>
      </x:c>
      <x:c r="G48" s="23" t="n">
        <x:v>45944.694918981484</x:v>
      </x:c>
      <x:c r="H48" s="23" t="n">
        <x:v>45944.75</x:v>
      </x:c>
      <x:c r="I48" s="23" t="n">
        <x:v>45944.750972222224</x:v>
      </x:c>
      <x:c r="J48" s="10" t="str"/>
      <x:c r="K48" s="10" t="str"/>
      <x:c r="L48" s="10" t="n">
        <x:v>13322</x:v>
      </x:c>
      <x:c r="M48" s="10" t="str">
        <x:v>F26-12-AV</x:v>
      </x:c>
      <x:c r="N48" s="10" t="str">
        <x:v>Producción audiovisual</x:v>
      </x:c>
      <x:c r="O48" s="10" t="str">
        <x:v>Rodajes, entrevistas, streaming y entregables</x:v>
      </x:c>
      <x:c r="P48" s="10" t="str">
        <x:v>Convertir con control</x:v>
      </x:c>
      <x:c r="Q48" s="10" t="str">
        <x:v>Medio</x:v>
      </x:c>
      <x:c r="R48" s="10" t="str">
        <x:v>Coordinación diseño/audiovisual — Andrés Naula</x:v>
      </x:c>
      <x:c r="S48" s="10" t="str">
        <x:v>Coordinación general + dirección de marketing</x:v>
      </x:c>
      <x:c r="T48" s="10" t="str">
        <x:v>Expectativa, conversión y vivo</x:v>
      </x:c>
      <x:c r="U48" s="10" t="str">
        <x:v>Guion, derechos, agenda, scouting, equipo y plan técnico aprobados</x:v>
      </x:c>
      <x:c r="V48" s="10" t="str">
        <x:v>Guion, derechos, agenda, scouting, equipo y plan técnico aprobados</x:v>
      </x:c>
      <x:c r="W48" s="10" t="str">
        <x:v>Rumbo a Finados Mushuc Runa. Vívelo EN VIVO y disfruta esta entrevista llena de música, risas y sorpresas junto a Euler Caicedo. Miércoles, 15 de octubre 15H00 Complejo Mushuc Runa</x:v>
      </x:c>
      <x:c r="X48" s="10" t="str">
        <x:v>No</x:v>
      </x:c>
      <x:c r="Y48" s="10" t="str">
        <x:f>IF(F48&lt;&gt;"Completada","Sin cierre",IF(OR(H48="",I48=""),"Sin dato",IF(I48&lt;=H48,"A tiempo","Tarde")))</x:f>
        <x:v>Tarde</x:v>
      </x:c>
      <x:c r="Z48" s="24" t="n">
        <x:f>IF(OR(G48="",H48=""),"",H48-G48)</x:f>
        <x:v>0.05508101851592073</x:v>
      </x:c>
    </x:row>
    <x:row r="49" ht="42" customHeight="1">
      <x:c r="A49" s="10" t="n">
        <x:v>48</x:v>
      </x:c>
      <x:c r="B49" s="10" t="n">
        <x:v>13338</x:v>
      </x:c>
      <x:c r="C49" s="10" t="str">
        <x:v>Videos con Hook de artistas</x:v>
      </x:c>
      <x:c r="D49" s="10" t="str">
        <x:v>Edwin Naula</x:v>
      </x:c>
      <x:c r="E49" s="10" t="str">
        <x:v>Edwin Naula</x:v>
      </x:c>
      <x:c r="F49" s="10" t="str">
        <x:v>Completada</x:v>
      </x:c>
      <x:c r="G49" s="23" t="n">
        <x:v>45944.699212962965</x:v>
      </x:c>
      <x:c r="H49" s="23" t="n">
        <x:v>45944.958333333336</x:v>
      </x:c>
      <x:c r="I49" s="23" t="n">
        <x:v>45944.958449074074</x:v>
      </x:c>
      <x:c r="J49" s="10" t="str"/>
      <x:c r="K49" s="10" t="str"/>
      <x:c r="L49" s="10" t="n">
        <x:v>13322</x:v>
      </x:c>
      <x:c r="M49" s="10" t="str">
        <x:v>F26-07-SHOW</x:v>
      </x:c>
      <x:c r="N49" s="10" t="str">
        <x:v>Programación y marketing</x:v>
      </x:c>
      <x:c r="O49" s="10" t="str">
        <x:v>Shows, artistas y programación bajo embargo</x:v>
      </x:c>
      <x:c r="P49" s="10" t="str">
        <x:v>Convertir con control</x:v>
      </x:c>
      <x:c r="Q49" s="10" t="str">
        <x:v>Alto</x:v>
      </x:c>
      <x:c r="R49" s="10" t="str">
        <x:v>Programación + coordinación comunicación</x:v>
      </x:c>
      <x:c r="S49" s="10" t="str">
        <x:v>Dirección + programación + derechos</x:v>
      </x:c>
      <x:c r="T49" s="10" t="str">
        <x:v>Revelación y conversión</x:v>
      </x:c>
      <x:c r="U49" s="10" t="str">
        <x:v>Contrato, grafía, día, horario, derechos, embargo y oferta confirmados</x:v>
      </x:c>
      <x:c r="V49" s="10" t="str">
        <x:v>Contrato, grafía, día, horario, derechos, embargo y oferta confirmados</x:v>
      </x:c>
      <x:c r="W49" s="10" t="str">
        <x:v>Artista con titulos en el video de la canción, los tres primeros segundos hook de llamados a lacción escuchar, a partir del segundo 5 o 8 CTA compra tu entrada.</x:v>
      </x:c>
      <x:c r="X49" s="10" t="str">
        <x:v>No</x:v>
      </x:c>
      <x:c r="Y49" s="10" t="str">
        <x:f>IF(F49&lt;&gt;"Completada","Sin cierre",IF(OR(H49="",I49=""),"Sin dato",IF(I49&lt;=H49,"A tiempo","Tarde")))</x:f>
        <x:v>Tarde</x:v>
      </x:c>
      <x:c r="Z49" s="24" t="n">
        <x:f>IF(OR(G49="",H49=""),"",H49-G49)</x:f>
        <x:v>0.2591203703705105</x:v>
      </x:c>
    </x:row>
    <x:row r="50" ht="42" customHeight="1">
      <x:c r="A50" s="10" t="n">
        <x:v>49</x:v>
      </x:c>
      <x:c r="B50" s="10" t="n">
        <x:v>13342</x:v>
      </x:c>
      <x:c r="C50" s="10" t="str">
        <x:v>Videos Friki</x:v>
      </x:c>
      <x:c r="D50" s="10" t="str">
        <x:v>Edwin Naula</x:v>
      </x:c>
      <x:c r="E50" s="10" t="str">
        <x:v>Edwin Naula</x:v>
      </x:c>
      <x:c r="F50" s="10" t="str">
        <x:v>Completada</x:v>
      </x:c>
      <x:c r="G50" s="23" t="n">
        <x:v>45944.7016087963</x:v>
      </x:c>
      <x:c r="H50" s="23" t="n">
        <x:v>45946.958333333336</x:v>
      </x:c>
      <x:c r="I50" s="23" t="n">
        <x:v>45946.93341435185</x:v>
      </x:c>
      <x:c r="J50" s="10" t="str"/>
      <x:c r="K50" s="10" t="str"/>
      <x:c r="L50" s="10" t="n">
        <x:v>13322</x:v>
      </x:c>
      <x:c r="M50" s="10" t="str">
        <x:v>F26-07-SHOW</x:v>
      </x:c>
      <x:c r="N50" s="10" t="str">
        <x:v>Programación y marketing</x:v>
      </x:c>
      <x:c r="O50" s="10" t="str">
        <x:v>Shows, artistas y programación bajo embargo</x:v>
      </x:c>
      <x:c r="P50" s="10" t="str">
        <x:v>Convertir con control</x:v>
      </x:c>
      <x:c r="Q50" s="10" t="str">
        <x:v>Alto</x:v>
      </x:c>
      <x:c r="R50" s="10" t="str">
        <x:v>Programación + coordinación comunicación</x:v>
      </x:c>
      <x:c r="S50" s="10" t="str">
        <x:v>Dirección + programación + derechos</x:v>
      </x:c>
      <x:c r="T50" s="10" t="str">
        <x:v>Revelación y conversión</x:v>
      </x:c>
      <x:c r="U50" s="10" t="str">
        <x:v>Contrato, grafía, día, horario, derechos, embargo y oferta confirmados</x:v>
      </x:c>
      <x:c r="V50" s="10" t="str">
        <x:v>Contrato, grafía, día, horario, derechos, embargo y oferta confirmados</x:v>
      </x:c>
      <x:c r="W50" s="10" t="str">
        <x:v>Videos 9:16 de situaciones normales con fondo musical de artistas de conciertos mushuc runa finados 2025, duración 20 segs para Tik tok y respetando la gráfica en márgenes salvos 4:5</x:v>
      </x:c>
      <x:c r="X50" s="10" t="str">
        <x:v>No</x:v>
      </x:c>
      <x:c r="Y50" s="10" t="str">
        <x:f>IF(F50&lt;&gt;"Completada","Sin cierre",IF(OR(H50="",I50=""),"Sin dato",IF(I50&lt;=H50,"A tiempo","Tarde")))</x:f>
        <x:v>A tiempo</x:v>
      </x:c>
      <x:c r="Z50" s="24" t="n">
        <x:f>IF(OR(G50="",H50=""),"",H50-G50)</x:f>
        <x:v>2.256724537037371</x:v>
      </x:c>
    </x:row>
    <x:row r="51" ht="42" customHeight="1">
      <x:c r="A51" s="10" t="n">
        <x:v>50</x:v>
      </x:c>
      <x:c r="B51" s="10" t="n">
        <x:v>13344</x:v>
      </x:c>
      <x:c r="C51" s="10" t="str">
        <x:v>Videos de John valverde</x:v>
      </x:c>
      <x:c r="D51" s="10" t="str">
        <x:v>Edwin Naula</x:v>
      </x:c>
      <x:c r="E51" s="10" t="str">
        <x:v>Edwin Naula</x:v>
      </x:c>
      <x:c r="F51" s="10" t="str">
        <x:v>Completada</x:v>
      </x:c>
      <x:c r="G51" s="23" t="n">
        <x:v>45944.70239583333</x:v>
      </x:c>
      <x:c r="H51" s="23" t="n">
        <x:v>45945.041666666664</x:v>
      </x:c>
      <x:c r="I51" s="23" t="n">
        <x:v>45944.98068287037</x:v>
      </x:c>
      <x:c r="J51" s="10" t="str"/>
      <x:c r="K51" s="10" t="str"/>
      <x:c r="L51" s="10" t="n">
        <x:v>13322</x:v>
      </x:c>
      <x:c r="M51" s="10" t="str">
        <x:v>F26-12-AV</x:v>
      </x:c>
      <x:c r="N51" s="10" t="str">
        <x:v>Producción audiovisual</x:v>
      </x:c>
      <x:c r="O51" s="10" t="str">
        <x:v>Rodajes, entrevistas, streaming y entregables</x:v>
      </x:c>
      <x:c r="P51" s="10" t="str">
        <x:v>Convertir con control</x:v>
      </x:c>
      <x:c r="Q51" s="10" t="str">
        <x:v>Medio</x:v>
      </x:c>
      <x:c r="R51" s="10" t="str">
        <x:v>Coordinación diseño/audiovisual — Andrés Naula</x:v>
      </x:c>
      <x:c r="S51" s="10" t="str">
        <x:v>Coordinación general + dirección de marketing</x:v>
      </x:c>
      <x:c r="T51" s="10" t="str">
        <x:v>Expectativa, conversión y vivo</x:v>
      </x:c>
      <x:c r="U51" s="10" t="str">
        <x:v>Guion, derechos, agenda, scouting, equipo y plan técnico aprobados</x:v>
      </x:c>
      <x:c r="V51" s="10" t="str">
        <x:v>Guion, derechos, agenda, scouting, equipo y plan técnico aprobados</x:v>
      </x:c>
      <x:c r="W51" s="10" t="str">
        <x:v>Publicar en tiktok los cortos de la etrevista, sacar hasta 3 cortos en tiktok y mandar uno de invitación a feria de la entrevista en facebook.</x:v>
      </x:c>
      <x:c r="X51" s="10" t="str">
        <x:v>No</x:v>
      </x:c>
      <x:c r="Y51" s="10" t="str">
        <x:f>IF(F51&lt;&gt;"Completada","Sin cierre",IF(OR(H51="",I51=""),"Sin dato",IF(I51&lt;=H51,"A tiempo","Tarde")))</x:f>
        <x:v>A tiempo</x:v>
      </x:c>
      <x:c r="Z51" s="24" t="n">
        <x:f>IF(OR(G51="",H51=""),"",H51-G51)</x:f>
        <x:v>0.3392708333340124</x:v>
      </x:c>
    </x:row>
    <x:row r="52" ht="42" customHeight="1">
      <x:c r="A52" s="10" t="n">
        <x:v>51</x:v>
      </x:c>
      <x:c r="B52" s="10" t="n">
        <x:v>13354</x:v>
      </x:c>
      <x:c r="C52" s="10" t="str">
        <x:v>Video de puntos de venta</x:v>
      </x:c>
      <x:c r="D52" s="10" t="str">
        <x:v>Edwin Naula</x:v>
      </x:c>
      <x:c r="E52" s="10" t="str">
        <x:v>Edwin Naula</x:v>
      </x:c>
      <x:c r="F52" s="10" t="str">
        <x:v>Completada</x:v>
      </x:c>
      <x:c r="G52" s="23" t="n">
        <x:v>45944.71871527778</x:v>
      </x:c>
      <x:c r="H52" s="23" t="n">
        <x:v>45946.958333333336</x:v>
      </x:c>
      <x:c r="I52" s="23" t="n">
        <x:v>45946.933703703704</x:v>
      </x:c>
      <x:c r="J52" s="10" t="str"/>
      <x:c r="K52" s="10" t="str"/>
      <x:c r="L52" s="10" t="n">
        <x:v>13322</x:v>
      </x:c>
      <x:c r="M52" s="10" t="str">
        <x:v>F26-05-ENT</x:v>
      </x:c>
      <x:c r="N52" s="10" t="str">
        <x:v>Entradas y conversión</x:v>
      </x:c>
      <x:c r="O52" s="10" t="str">
        <x:v>Preventa, boletería, puntos y disponibilidad</x:v>
      </x:c>
      <x:c r="P52" s="10" t="str">
        <x:v>Convertir con control</x:v>
      </x:c>
      <x:c r="Q52" s="10" t="str">
        <x:v>Alto</x:v>
      </x:c>
      <x:c r="R52" s="10" t="str">
        <x:v>Dueño de entradas/comercial — por asignar</x:v>
      </x:c>
      <x:c r="S52" s="10" t="str">
        <x:v>Dirección + finanzas + operación</x:v>
      </x:c>
      <x:c r="T52" s="10" t="str">
        <x:v>Revelación y preventa</x:v>
      </x:c>
      <x:c r="U52" s="10" t="str">
        <x:v>Oferta, precios, aforo, términos, destino seguro y compra de prueba</x:v>
      </x:c>
      <x:c r="V52" s="10" t="str">
        <x:v>Oferta, precios, aforo, términos, destino seguro y compra de prueba</x:v>
      </x:c>
      <x:c r="W52" s="10" t="str">
        <x:v>Es necesario fomentar la venta de entradas en línea. Para ello, se propone la realización de un video oficial que cuente con la participación de tiktokers o influencers con un amplio alcance en redes sociales. Además, se sugiere que el video pueda ser grabado con el equipo de producción de Mushuc, incluyendo la colaboración de Andrés, Alejo e Isa, quienes promoverán activamente la compra de entradas.</x:v>
      </x:c>
      <x:c r="X52" s="10" t="str">
        <x:v>No</x:v>
      </x:c>
      <x:c r="Y52" s="10" t="str">
        <x:f>IF(F52&lt;&gt;"Completada","Sin cierre",IF(OR(H52="",I52=""),"Sin dato",IF(I52&lt;=H52,"A tiempo","Tarde")))</x:f>
        <x:v>A tiempo</x:v>
      </x:c>
      <x:c r="Z52" s="24" t="n">
        <x:f>IF(OR(G52="",H52=""),"",H52-G52)</x:f>
        <x:v>2.2396180555588217</x:v>
      </x:c>
    </x:row>
    <x:row r="53" ht="42" customHeight="1">
      <x:c r="A53" s="10" t="n">
        <x:v>52</x:v>
      </x:c>
      <x:c r="B53" s="10" t="n">
        <x:v>13346</x:v>
      </x:c>
      <x:c r="C53" s="10" t="str">
        <x:v>Trabajo con influencer</x:v>
      </x:c>
      <x:c r="D53" s="10" t="str">
        <x:v>Edwin Naula</x:v>
      </x:c>
      <x:c r="E53" s="10" t="str">
        <x:v>Edwin Naula</x:v>
      </x:c>
      <x:c r="F53" s="10" t="str">
        <x:v>Completada</x:v>
      </x:c>
      <x:c r="G53" s="23" t="n">
        <x:v>45944.70449074074</x:v>
      </x:c>
      <x:c r="H53" s="23" t="n">
        <x:v>45948.958333333336</x:v>
      </x:c>
      <x:c r="I53" s="23" t="n">
        <x:v>45947.84636574074</x:v>
      </x:c>
      <x:c r="J53" s="10" t="str">
        <x:v>Pam Villa, Diego Flores (grafía por confirmar), Sonia Estrella</x:v>
      </x:c>
      <x:c r="K53" s="10" t="str"/>
      <x:c r="L53" s="10"/>
      <x:c r="M53" s="10" t="str">
        <x:v>F26-09-CREA</x:v>
      </x:c>
      <x:c r="N53" s="10" t="str">
        <x:v>Creadores y comunidad</x:v>
      </x:c>
      <x:c r="O53" s="10" t="str">
        <x:v>Influencers, embajadores y referidos</x:v>
      </x:c>
      <x:c r="P53" s="10" t="str">
        <x:v>Convertir con control</x:v>
      </x:c>
      <x:c r="Q53" s="10" t="str">
        <x:v>Medio</x:v>
      </x:c>
      <x:c r="R53" s="10" t="str">
        <x:v>Coordinación comunicación + relaciones públicas</x:v>
      </x:c>
      <x:c r="S53" s="10" t="str">
        <x:v>Dirección de marketing + legal/finanzas cuando aplique</x:v>
      </x:c>
      <x:c r="T53" s="10" t="str">
        <x:v>Expectativa y conversión</x:v>
      </x:c>
      <x:c r="U53" s="10" t="str">
        <x:v>Brief, derechos, selección, compensación fija y evidencia verificable</x:v>
      </x:c>
      <x:c r="V53" s="10" t="str">
        <x:v>Brief, derechos, selección, compensación fija y evidencia verificable</x:v>
      </x:c>
      <x:c r="W53" s="10" t="str">
        <x:v>Buscar influencer para que se pueda trabajar y gestionar con el equipo para que se promueva la feria y la compra de entradas. - Contenido con influencers o microinfluencer quien sea que tenga una imegen para que nos ayude habalr dele evento, puede ser reacción a las canciones y cosas de interes que se puedan dar.</x:v>
      </x:c>
      <x:c r="X53" s="10" t="str">
        <x:v>No</x:v>
      </x:c>
      <x:c r="Y53" s="10" t="str">
        <x:f>IF(F53&lt;&gt;"Completada","Sin cierre",IF(OR(H53="",I53=""),"Sin dato",IF(I53&lt;=H53,"A tiempo","Tarde")))</x:f>
        <x:v>A tiempo</x:v>
      </x:c>
      <x:c r="Z53" s="24" t="n">
        <x:f>IF(OR(G53="",H53=""),"",H53-G53)</x:f>
        <x:v>4.253842592595902</x:v>
      </x:c>
    </x:row>
    <x:row r="54" ht="42" customHeight="1">
      <x:c r="A54" s="10" t="n">
        <x:v>53</x:v>
      </x:c>
      <x:c r="B54" s="10" t="n">
        <x:v>13352</x:v>
      </x:c>
      <x:c r="C54" s="10" t="str">
        <x:v>Entrevista con Euler caicedo</x:v>
      </x:c>
      <x:c r="D54" s="10" t="str">
        <x:v>Zeus Producciones</x:v>
      </x:c>
      <x:c r="E54" s="10" t="str">
        <x:v>Leo Sailema</x:v>
      </x:c>
      <x:c r="F54" s="10" t="str">
        <x:v>Completada</x:v>
      </x:c>
      <x:c r="G54" s="23" t="n">
        <x:v>45944.710497685184</x:v>
      </x:c>
      <x:c r="H54" s="23" t="n">
        <x:v>45945.958333333336</x:v>
      </x:c>
      <x:c r="I54" s="23" t="n">
        <x:v>45946.59747685185</x:v>
      </x:c>
      <x:c r="J54" s="10" t="str">
        <x:v>Alex Naranjo, Luis Lara, Pam Villa, Stalin Flores, Andrés Flores, Zeus Producciones, Sonia Estrella, Edwin Naula, Edwin Masa Sisa (identidad por confirmar), Leo Sailema, Stalin Loaiza</x:v>
      </x:c>
      <x:c r="K54" s="10" t="str"/>
      <x:c r="L54" s="10"/>
      <x:c r="M54" s="10" t="str">
        <x:v>F26-12-AV</x:v>
      </x:c>
      <x:c r="N54" s="10" t="str">
        <x:v>Producción audiovisual</x:v>
      </x:c>
      <x:c r="O54" s="10" t="str">
        <x:v>Rodajes, entrevistas, streaming y entregables</x:v>
      </x:c>
      <x:c r="P54" s="10" t="str">
        <x:v>Convertir con control</x:v>
      </x:c>
      <x:c r="Q54" s="10" t="str">
        <x:v>Medio</x:v>
      </x:c>
      <x:c r="R54" s="10" t="str">
        <x:v>Coordinación diseño/audiovisual — Andrés Naula</x:v>
      </x:c>
      <x:c r="S54" s="10" t="str">
        <x:v>Coordinación general + dirección de marketing</x:v>
      </x:c>
      <x:c r="T54" s="10" t="str">
        <x:v>Expectativa, conversión y vivo</x:v>
      </x:c>
      <x:c r="U54" s="10" t="str">
        <x:v>Guion, derechos, agenda, scouting, equipo y plan técnico aprobados</x:v>
      </x:c>
      <x:c r="V54" s="10" t="str">
        <x:v>Guion, derechos, agenda, scouting, equipo y plan técnico aprobados</x:v>
      </x:c>
      <x:c r="W54" s="10" t="str">
        <x:v>¡Llega un streaming en vivo lleno de diversión y cultura! No te pierdas “En Confianza con Euler Caicedo”, un programa en formato de entrevista divertida que reunirá al reconocido cantautor ecuatoriano Euler Caicedo y al invitado especial Abg. Luis Alfonso Chango. La conducción estará a cargo de Andrés Flores, transmitido en vivo con la tecnología de Mushuc Tv. 📅 Fecha: Miércoles 15 de octubre de 2025 ⏰ Hora: 15:00 📍 Lugar: Complejo Intercultural Deportivo Mushuc Runa, Resbaladera 📡 Transmisión en vivo por: Facebook: Mushuc Tv TikTok: Mushuc Tv Formato horizontal 🎤 Dinámicas divertidas incluyen: El baile del trompo. ¡El desafío de la resbaladera más grande del centro del país! 🎯 Objetivos del evento: Invitar a la comunidad a sumarse a nuestras redes. Interactuar con nuestro influencer invitado, el Abg. Luis Alfonso Chango. Promover los atractivos de la feria, especialmente el lunes 3 de noviembre, día de su presentación oficial. ¡Anunciar la venta de entradas y motivar a la audiencia a adquirirlas ahora! ¡No te lo pierdas! Acompaña a Euler Caicedo y Luis Alfonso Chango en una tarde llena de música, risas y sorpresas. requerimiento tecnico mushuc live con Euler caisedo fecha 15-10-2015 lugar complejo MR hora 15:00 recepcion de guion literario - personal descripcion de actividad productor / jefe de piso leonardo sailema alinea el contenido, enlista las actividades según el guin literario y dirigeel programa y la conversacion jefe tecnico ivan solano direccion tecnica de stage, equipamento, coordinación de requerimientos con productor y logistica logistica - logistica sillas externo/s llevar las sillas, colocar en el set, recoger y llevar las sillas de retorno logistica mesa externo/s llevar mesa, colocar la mesa en el set, lleavar la mesa de retorno sonidista / microfonia externo preparacion de equipos, movilizacion, armado en set, master switch Andres Naula direccion de camaras camara 1 william mungabusi armado y supervision de camaras roboticas via red camara 2 william mungabusi supervisado y soporte camara 3 william mungabusi supervisado y soporte operador de drone externo conexión de drone operación y almacenamiento tramoya - logistica iluminacion externo lleavar las luces, colocar las luces, asistencia tecnica en set, recoger y retornar asitente tecnico externo armado de equipos conexiones de red e internet calibracion de camaras ajuste de señáles en tiempo real presentador andres flores recibe el guion investiga al invitado y ejecuta la entrevista presencia del jefe isabel orosco gestiona y certifica la presencia de jefe en sitio almenos 20 min antes de la transmicion internet provee cordinador o tecnico gestion de punto de internet dedicado de 100 megas simetrico logistica coordinación artistica /invitados estalin loaiza contacta y confirma invitados, influencer o Artista y gestiona catering para invitados y equipo</x:v>
      </x:c>
      <x:c r="X54" s="10" t="str">
        <x:v>No</x:v>
      </x:c>
      <x:c r="Y54" s="10" t="str">
        <x:f>IF(F54&lt;&gt;"Completada","Sin cierre",IF(OR(H54="",I54=""),"Sin dato",IF(I54&lt;=H54,"A tiempo","Tarde")))</x:f>
        <x:v>Tarde</x:v>
      </x:c>
      <x:c r="Z54" s="24" t="n">
        <x:f>IF(OR(G54="",H54=""),"",H54-G54)</x:f>
        <x:v>1.247835648151522</x:v>
      </x:c>
    </x:row>
    <x:row r="55" ht="42" customHeight="1">
      <x:c r="A55" s="10" t="n">
        <x:v>54</x:v>
      </x:c>
      <x:c r="B55" s="10" t="n">
        <x:v>13356</x:v>
      </x:c>
      <x:c r="C55" s="10" t="str">
        <x:v>Programa PDF de feria</x:v>
      </x:c>
      <x:c r="D55" s="10" t="str">
        <x:v>Edwin Naula</x:v>
      </x:c>
      <x:c r="E55" s="10" t="str">
        <x:v>Edwin Naula</x:v>
      </x:c>
      <x:c r="F55" s="10" t="str">
        <x:v>Completada</x:v>
      </x:c>
      <x:c r="G55" s="23" t="n">
        <x:v>45944.725636574076</x:v>
      </x:c>
      <x:c r="H55" s="23" t="n">
        <x:v>45947.958333333336</x:v>
      </x:c>
      <x:c r="I55" s="23" t="n">
        <x:v>45947.891435185185</x:v>
      </x:c>
      <x:c r="J55" s="10" t="str">
        <x:v>Alex Naranjo, Stalin Flores, Stalin Loaiza</x:v>
      </x:c>
      <x:c r="K55" s="10" t="str"/>
      <x:c r="L55" s="10"/>
      <x:c r="M55" s="10" t="str">
        <x:v>F26-06-CONT</x:v>
      </x:c>
      <x:c r="N55" s="10" t="str">
        <x:v>Marketing y comunicación</x:v>
      </x:c>
      <x:c r="O55" s="10" t="str">
        <x:v>Sistema editorial, redes y piezas recurrentes</x:v>
      </x:c>
      <x:c r="P55" s="10" t="str">
        <x:v>Consolidar en paquete 2026</x:v>
      </x:c>
      <x:c r="Q55" s="10" t="str">
        <x:v>Medio</x:v>
      </x:c>
      <x:c r="R55" s="10" t="str">
        <x:v>Coordinación comunicación — Andrés (apellido por confirmar)</x:v>
      </x:c>
      <x:c r="S55" s="10" t="str">
        <x:v>Dirección de marketing — Andrés Naranjo</x:v>
      </x:c>
      <x:c r="T55" s="10" t="str">
        <x:v>Expectativa y conversión</x:v>
      </x:c>
      <x:c r="U55" s="10" t="str">
        <x:v>Brief, fuente vigente, CTA verificable y QA antes de publicar</x:v>
      </x:c>
      <x:c r="V55" s="10" t="str">
        <x:v>Evitar microtareas ad hoc; trabajar desde un brief, plantilla, dueño y fecha de aprobación.</x:v>
      </x:c>
      <x:c r="W55" s="10" t="str"/>
      <x:c r="X55" s="10" t="str">
        <x:v>No</x:v>
      </x:c>
      <x:c r="Y55" s="10" t="str">
        <x:f>IF(F55&lt;&gt;"Completada","Sin cierre",IF(OR(H55="",I55=""),"Sin dato",IF(I55&lt;=H55,"A tiempo","Tarde")))</x:f>
        <x:v>A tiempo</x:v>
      </x:c>
      <x:c r="Z55" s="24" t="n">
        <x:f>IF(OR(G55="",H55=""),"",H55-G55)</x:f>
        <x:v>3.232696759259852</x:v>
      </x:c>
    </x:row>
    <x:row r="56" ht="42" customHeight="1">
      <x:c r="A56" s="10" t="n">
        <x:v>55</x:v>
      </x:c>
      <x:c r="B56" s="10" t="n">
        <x:v>13360</x:v>
      </x:c>
      <x:c r="C56" s="10" t="str">
        <x:v>diseño NOMINADOS</x:v>
      </x:c>
      <x:c r="D56" s="10" t="str">
        <x:v>Edwin Naula</x:v>
      </x:c>
      <x:c r="E56" s="10" t="str">
        <x:v>Edwin Naula</x:v>
      </x:c>
      <x:c r="F56" s="10" t="str">
        <x:v>Completada</x:v>
      </x:c>
      <x:c r="G56" s="23" t="n">
        <x:v>45944.74489583333</x:v>
      </x:c>
      <x:c r="H56" s="23" t="n">
        <x:v>45944.958333333336</x:v>
      </x:c>
      <x:c r="I56" s="23" t="n">
        <x:v>45944.98042824074</x:v>
      </x:c>
      <x:c r="J56" s="10" t="str">
        <x:v>Valery Paredes</x:v>
      </x:c>
      <x:c r="K56" s="10" t="str"/>
      <x:c r="L56" s="10"/>
      <x:c r="M56" s="10" t="str">
        <x:v>F26-02-MARCA</x:v>
      </x:c>
      <x:c r="N56" s="10" t="str">
        <x:v>Marca y creatividad</x:v>
      </x:c>
      <x:c r="O56" s="10" t="str">
        <x:v>Sistema visual y adaptaciones maestras</x:v>
      </x:c>
      <x:c r="P56" s="10" t="str">
        <x:v>Rediseñar</x:v>
      </x:c>
      <x:c r="Q56" s="10" t="str">
        <x:v>Alto</x:v>
      </x:c>
      <x:c r="R56" s="10" t="str">
        <x:v>Coordinación diseño/audiovisual — Andrés Naula</x:v>
      </x:c>
      <x:c r="S56" s="10" t="str">
        <x:v>Dirección de marketing + aprobación cultural/marca</x:v>
      </x:c>
      <x:c r="T56" s="10" t="str">
        <x:v>Preparación interna</x:v>
      </x:c>
      <x:c r="U56" s="10" t="str">
        <x:v>Plataforma ES TRADICIÓN y key visual aprobados</x:v>
      </x:c>
      <x:c r="V56" s="10" t="str">
        <x:v>Evitar que la interacción social sea el único criterio; usar registro propio, jurado, antifraude y viabilidad operativa.</x:v>
      </x:c>
      <x:c r="W56" s="10" t="str"/>
      <x:c r="X56" s="10" t="str">
        <x:v>No</x:v>
      </x:c>
      <x:c r="Y56" s="10" t="str">
        <x:f>IF(F56&lt;&gt;"Completada","Sin cierre",IF(OR(H56="",I56=""),"Sin dato",IF(I56&lt;=H56,"A tiempo","Tarde")))</x:f>
        <x:v>Tarde</x:v>
      </x:c>
      <x:c r="Z56" s="24" t="n">
        <x:f>IF(OR(G56="",H56=""),"",H56-G56)</x:f>
        <x:v>0.2134375000023283</x:v>
      </x:c>
    </x:row>
    <x:row r="57" ht="42" customHeight="1">
      <x:c r="A57" s="10" t="n">
        <x:v>56</x:v>
      </x:c>
      <x:c r="B57" s="10" t="n">
        <x:v>13362</x:v>
      </x:c>
      <x:c r="C57" s="10" t="str">
        <x:v>Revisar el estado de pautaje en tiktok desde el celular.</x:v>
      </x:c>
      <x:c r="D57" s="10" t="str">
        <x:v>Stalin Flores</x:v>
      </x:c>
      <x:c r="E57" s="10" t="str">
        <x:v>Alex Naranjo</x:v>
      </x:c>
      <x:c r="F57" s="10" t="str">
        <x:v>Completada</x:v>
      </x:c>
      <x:c r="G57" s="23" t="n">
        <x:v>45944.86583333334</x:v>
      </x:c>
      <x:c r="H57" s="23" t="n">
        <x:v>45945.583333333336</x:v>
      </x:c>
      <x:c r="I57" s="23" t="n">
        <x:v>45946.67152777778</x:v>
      </x:c>
      <x:c r="J57" s="10" t="str"/>
      <x:c r="K57" s="10" t="str"/>
      <x:c r="L57" s="10"/>
      <x:c r="M57" s="10" t="str">
        <x:v>F26-15-PAID</x:v>
      </x:c>
      <x:c r="N57" s="10" t="str">
        <x:v>Pauta y medición</x:v>
      </x:c>
      <x:c r="O57" s="10" t="str">
        <x:v>Pauta social, tracking, audiencias y optimización</x:v>
      </x:c>
      <x:c r="P57" s="10" t="str">
        <x:v>Convertir con control</x:v>
      </x:c>
      <x:c r="Q57" s="10" t="str">
        <x:v>Alto</x:v>
      </x:c>
      <x:c r="R57" s="10" t="str">
        <x:v>Media buyer — vacante crítica</x:v>
      </x:c>
      <x:c r="S57" s="10" t="str">
        <x:v>Dirección de marketing + finanzas</x:v>
      </x:c>
      <x:c r="T57" s="10" t="str">
        <x:v>Expectativa a conversión</x:v>
      </x:c>
      <x:c r="U57" s="10" t="str">
        <x:v>Destino seguro, eventos medidos, UTMs, presupuesto y compra de prueba</x:v>
      </x:c>
      <x:c r="V57" s="10" t="str">
        <x:v>Destino seguro, eventos medidos, UTMs, presupuesto y compra de prueba</x:v>
      </x:c>
      <x:c r="W57" s="10" t="str"/>
      <x:c r="X57" s="10" t="str">
        <x:v>No</x:v>
      </x:c>
      <x:c r="Y57" s="10" t="str">
        <x:f>IF(F57&lt;&gt;"Completada","Sin cierre",IF(OR(H57="",I57=""),"Sin dato",IF(I57&lt;=H57,"A tiempo","Tarde")))</x:f>
        <x:v>Tarde</x:v>
      </x:c>
      <x:c r="Z57" s="24" t="n">
        <x:f>IF(OR(G57="",H57=""),"",H57-G57)</x:f>
        <x:v>0.7174999999988358</x:v>
      </x:c>
    </x:row>
    <x:row r="58" ht="42" customHeight="1">
      <x:c r="A58" s="10" t="n">
        <x:v>57</x:v>
      </x:c>
      <x:c r="B58" s="10" t="n">
        <x:v>13366</x:v>
      </x:c>
      <x:c r="C58" s="10" t="str">
        <x:v>CRONOPOST</x:v>
      </x:c>
      <x:c r="D58" s="10" t="str">
        <x:v>Edwin Naula</x:v>
      </x:c>
      <x:c r="E58" s="10" t="str">
        <x:v>Edwin Naula</x:v>
      </x:c>
      <x:c r="F58" s="10" t="str">
        <x:v>Completada</x:v>
      </x:c>
      <x:c r="G58" s="23" t="n">
        <x:v>45945.579733796294</x:v>
      </x:c>
      <x:c r="H58" s="23" t="n">
        <x:v>45947.041666666664</x:v>
      </x:c>
      <x:c r="I58" s="23" t="n">
        <x:v>45946.9766087963</x:v>
      </x:c>
      <x:c r="J58" s="10" t="str">
        <x:v>Pam Villa</x:v>
      </x:c>
      <x:c r="K58" s="10" t="str"/>
      <x:c r="L58" s="10"/>
      <x:c r="M58" s="10" t="str">
        <x:v>F26-01-GOB</x:v>
      </x:c>
      <x:c r="N58" s="10" t="str">
        <x:v>Dirección y control</x:v>
      </x:c>
      <x:c r="O58" s="10" t="str">
        <x:v>Gobierno, planificación y aprobaciones</x:v>
      </x:c>
      <x:c r="P58" s="10" t="str">
        <x:v>Consolidar en paquete 2026</x:v>
      </x:c>
      <x:c r="Q58" s="10" t="str">
        <x:v>Medio</x:v>
      </x:c>
      <x:c r="R58" s="10" t="str">
        <x:v>Coordinación general de marketing — Edwin Masabanda</x:v>
      </x:c>
      <x:c r="S58" s="10" t="str">
        <x:v>Dirección de marketing — Andrés Naranjo</x:v>
      </x:c>
      <x:c r="T58" s="10" t="str">
        <x:v>Preparación interna</x:v>
      </x:c>
      <x:c r="U58" s="10" t="str">
        <x:v>RACI ratificado, fecha confirmada y fuente única vigente</x:v>
      </x:c>
      <x:c r="V58" s="10" t="str">
        <x:v>Evitar microtareas ad hoc; trabajar desde un brief, plantilla, dueño y fecha de aprobación.</x:v>
      </x:c>
      <x:c r="W58" s="10" t="str">
        <x:v>Detalle de la semana, avance de 3 días Crono 16 OctubreJUEVES 08H00 INVITACIÓN AMAR AZUL 🎥 Reel (9:16) 🤔 ANDRÉS N. 11H00 PIN PON CON EULER CAICEDO 🎥 Reel (9:16) 🤔 ANDRÉS N. 15H00 SHORT ESTILO KARAOKE LA VAGANCIA 🎥 Reel (9:16) 😬 DIEGO 12H00 PROMOCIONAR LOLITA 📃 Post 4:5 😼 VALE 18H00 POST DE SELECCIÓN POR EMOJIS 📃 Post 4:5 🤗 STATYN G. 16H00 ANIMALES EXÓTICOS 🔁 Animación 🤔 ANDRÉS N. 20H00 TREND TIERRA CANELA 🎥 Reel (9:16) 🤔 ANDRÉS N. 16H00 ARTE EXPLICATIVO DE LOS BOLETOS DORADOS 📃 Post 4:5 😼 VALE 13H00 PUNTOS DE VENTA (CHICA) 🎥 Reel (9:16) 🤔 ANDRÉS N. 12H00 VIDEO FREEKI AMAR AZUL 🎥 Reel (9:16) 😼 VALE GIRA DE MEDIOS ABOGADO 📃 Post 4:5 - 15H00 reels gira de medios 🎥 Reel (9:16) 🤔 ANDRÉS N. 13H00 post actualziado de post emga escenario (martes) 📥𝗗𝗘𝗦𝗖𝗔𝗥𝗚𝗔 𝗟𝗔 𝗣𝗥𝗢𝗚𝗥𝗔𝗠𝗔𝗖𝗜𝗢́𝗡 𝗚𝗘𝗡𝗘𝗥𝗔𝗟 𝗗𝗘 y conoce de todos nuestros atractivos y shows. Para que disfrutes en familia y con amigos de la 🧩 CARRUSEL 🤔 ANDRÉS N. 12H00 VIDEO FREEKI LA VAGANCIA 🎥 Reel (9:16) 🤔 ANDRÉS N. 12H00 SHORT ESTILO KARAOKE AMAR AZUL SHOW CANINO 🔁 Animación 🤔 ANDRÉS N.</x:v>
      </x:c>
      <x:c r="X58" s="10" t="str">
        <x:v>No</x:v>
      </x:c>
      <x:c r="Y58" s="10" t="str">
        <x:f>IF(F58&lt;&gt;"Completada","Sin cierre",IF(OR(H58="",I58=""),"Sin dato",IF(I58&lt;=H58,"A tiempo","Tarde")))</x:f>
        <x:v>A tiempo</x:v>
      </x:c>
      <x:c r="Z58" s="24" t="n">
        <x:f>IF(OR(G58="",H58=""),"",H58-G58)</x:f>
        <x:v>1.4619328703702195</x:v>
      </x:c>
    </x:row>
    <x:row r="59" ht="42" customHeight="1">
      <x:c r="A59" s="10" t="n">
        <x:v>58</x:v>
      </x:c>
      <x:c r="B59" s="10" t="n">
        <x:v>13372</x:v>
      </x:c>
      <x:c r="C59" s="10" t="str">
        <x:v>Posteo Influencer 1 guaranda</x:v>
      </x:c>
      <x:c r="D59" s="10" t="str">
        <x:v>Edwin Naula</x:v>
      </x:c>
      <x:c r="E59" s="10" t="str">
        <x:v>Edwin Naula</x:v>
      </x:c>
      <x:c r="F59" s="10" t="str">
        <x:v>Completada</x:v>
      </x:c>
      <x:c r="G59" s="23" t="n">
        <x:v>45945.725439814814</x:v>
      </x:c>
      <x:c r="H59" s="23" t="n">
        <x:v>45946.666666666664</x:v>
      </x:c>
      <x:c r="I59" s="23" t="n">
        <x:v>45946.68430555556</x:v>
      </x:c>
      <x:c r="J59" s="10" t="str">
        <x:v>Pam Villa</x:v>
      </x:c>
      <x:c r="K59" s="10" t="str"/>
      <x:c r="L59" s="10"/>
      <x:c r="M59" s="10" t="str">
        <x:v>F26-09-CREA</x:v>
      </x:c>
      <x:c r="N59" s="10" t="str">
        <x:v>Creadores y comunidad</x:v>
      </x:c>
      <x:c r="O59" s="10" t="str">
        <x:v>Influencers, embajadores y referidos</x:v>
      </x:c>
      <x:c r="P59" s="10" t="str">
        <x:v>Convertir con control</x:v>
      </x:c>
      <x:c r="Q59" s="10" t="str">
        <x:v>Medio</x:v>
      </x:c>
      <x:c r="R59" s="10" t="str">
        <x:v>Coordinación comunicación + relaciones públicas</x:v>
      </x:c>
      <x:c r="S59" s="10" t="str">
        <x:v>Dirección de marketing + legal/finanzas cuando aplique</x:v>
      </x:c>
      <x:c r="T59" s="10" t="str">
        <x:v>Expectativa y conversión</x:v>
      </x:c>
      <x:c r="U59" s="10" t="str">
        <x:v>Brief, derechos, selección, compensación fija y evidencia verificable</x:v>
      </x:c>
      <x:c r="V59" s="10" t="str">
        <x:v>Brief, derechos, selección, compensación fija y evidencia verificable</x:v>
      </x:c>
      <x:c r="W59" s="10" t="str">
        <x:v>Revisar contenido y subirlo</x:v>
      </x:c>
      <x:c r="X59" s="10" t="str">
        <x:v>No</x:v>
      </x:c>
      <x:c r="Y59" s="10" t="str">
        <x:f>IF(F59&lt;&gt;"Completada","Sin cierre",IF(OR(H59="",I59=""),"Sin dato",IF(I59&lt;=H59,"A tiempo","Tarde")))</x:f>
        <x:v>Tarde</x:v>
      </x:c>
      <x:c r="Z59" s="24" t="n">
        <x:f>IF(OR(G59="",H59=""),"",H59-G59)</x:f>
        <x:v>0.9412268518499332</x:v>
      </x:c>
    </x:row>
    <x:row r="60" ht="42" customHeight="1">
      <x:c r="A60" s="10" t="n">
        <x:v>59</x:v>
      </x:c>
      <x:c r="B60" s="10" t="n">
        <x:v>13378</x:v>
      </x:c>
      <x:c r="C60" s="10" t="str">
        <x:v>POST CONCURSO GUAGUAS DE PAN Y COLADA MORADA</x:v>
      </x:c>
      <x:c r="D60" s="10" t="str">
        <x:v>Edwin Naula</x:v>
      </x:c>
      <x:c r="E60" s="10" t="str">
        <x:v>Edwin Naula</x:v>
      </x:c>
      <x:c r="F60" s="10" t="str">
        <x:v>Completada</x:v>
      </x:c>
      <x:c r="G60" s="23" t="n">
        <x:v>45946.600798611114</x:v>
      </x:c>
      <x:c r="H60" s="23" t="n">
        <x:v>45947.958333333336</x:v>
      </x:c>
      <x:c r="I60" s="23" t="n">
        <x:v>45947.860300925924</x:v>
      </x:c>
      <x:c r="J60" s="10" t="str">
        <x:v>Pam Villa, Stalin Flores, Valery Paredes, Stalin Loaiza</x:v>
      </x:c>
      <x:c r="K60" s="10" t="str"/>
      <x:c r="L60" s="10"/>
      <x:c r="M60" s="10" t="str">
        <x:v>F26-08-TRAD</x:v>
      </x:c>
      <x:c r="N60" s="10" t="str">
        <x:v>Experiencia y cultura</x:v>
      </x:c>
      <x:c r="O60" s="10" t="str">
        <x:v>Tradición, concursos, rituales y cinco jornadas</x:v>
      </x:c>
      <x:c r="P60" s="10" t="str">
        <x:v>Convertir con control</x:v>
      </x:c>
      <x:c r="Q60" s="10" t="str">
        <x:v>Medio</x:v>
      </x:c>
      <x:c r="R60" s="10" t="str">
        <x:v>Experiencia + aprobación cultural — por asignar</x:v>
      </x:c>
      <x:c r="S60" s="10" t="str">
        <x:v>Dirección + comunidad/cultura + operación</x:v>
      </x:c>
      <x:c r="T60" s="10" t="str">
        <x:v>Expectativa y experiencia</x:v>
      </x:c>
      <x:c r="U60" s="10" t="str">
        <x:v>Validación cultural, reglas, capacidad y operación documentadas</x:v>
      </x:c>
      <x:c r="V60" s="10" t="str">
        <x:v>Validación cultural, reglas, capacidad y operación documentadas</x:v>
      </x:c>
      <x:c r="W60" s="10" t="str">
        <x:v>Se debe realizar 3 insumos</x:v>
      </x:c>
      <x:c r="X60" s="10" t="str">
        <x:v>No</x:v>
      </x:c>
      <x:c r="Y60" s="10" t="str">
        <x:f>IF(F60&lt;&gt;"Completada","Sin cierre",IF(OR(H60="",I60=""),"Sin dato",IF(I60&lt;=H60,"A tiempo","Tarde")))</x:f>
        <x:v>A tiempo</x:v>
      </x:c>
      <x:c r="Z60" s="24" t="n">
        <x:f>IF(OR(G60="",H60=""),"",H60-G60)</x:f>
        <x:v>1.3575347222213168</x:v>
      </x:c>
    </x:row>
    <x:row r="61" ht="42" customHeight="1">
      <x:c r="A61" s="10" t="n">
        <x:v>60</x:v>
      </x:c>
      <x:c r="B61" s="10" t="n">
        <x:v>13380</x:v>
      </x:c>
      <x:c r="C61" s="10" t="str">
        <x:v>Cobertura partido Mushuc Runa</x:v>
      </x:c>
      <x:c r="D61" s="10" t="str">
        <x:v>Pam Villa</x:v>
      </x:c>
      <x:c r="E61" s="10" t="str">
        <x:v>Pam Villa</x:v>
      </x:c>
      <x:c r="F61" s="10" t="str">
        <x:v>Completada</x:v>
      </x:c>
      <x:c r="G61" s="23" t="n">
        <x:v>45946.602638888886</x:v>
      </x:c>
      <x:c r="H61" s="23"/>
      <x:c r="I61" s="23" t="n">
        <x:v>45950.582604166666</x:v>
      </x:c>
      <x:c r="J61" s="10" t="str">
        <x:v>Pam Villa</x:v>
      </x:c>
      <x:c r="K61" s="10" t="str"/>
      <x:c r="L61" s="10"/>
      <x:c r="M61" s="10" t="str">
        <x:v>F26-12-AV</x:v>
      </x:c>
      <x:c r="N61" s="10" t="str">
        <x:v>Producción audiovisual</x:v>
      </x:c>
      <x:c r="O61" s="10" t="str">
        <x:v>Rodajes, entrevistas, streaming y entregables</x:v>
      </x:c>
      <x:c r="P61" s="10" t="str">
        <x:v>Convertir con control</x:v>
      </x:c>
      <x:c r="Q61" s="10" t="str">
        <x:v>Medio</x:v>
      </x:c>
      <x:c r="R61" s="10" t="str">
        <x:v>Coordinación diseño/audiovisual — Andrés Naula</x:v>
      </x:c>
      <x:c r="S61" s="10" t="str">
        <x:v>Coordinación general + dirección de marketing</x:v>
      </x:c>
      <x:c r="T61" s="10" t="str">
        <x:v>Expectativa, conversión y vivo</x:v>
      </x:c>
      <x:c r="U61" s="10" t="str">
        <x:v>Guion, derechos, agenda, scouting, equipo y plan técnico aprobados</x:v>
      </x:c>
      <x:c r="V61" s="10" t="str">
        <x:v>Guion, derechos, agenda, scouting, equipo y plan técnico aprobados</x:v>
      </x:c>
      <x:c r="W61" s="10" t="str"/>
      <x:c r="X61" s="10" t="str">
        <x:v>No</x:v>
      </x:c>
      <x:c r="Y61" s="10" t="str">
        <x:f>IF(F61&lt;&gt;"Completada","Sin cierre",IF(OR(H61="",I61=""),"Sin dato",IF(I61&lt;=H61,"A tiempo","Tarde")))</x:f>
        <x:v>Sin dato</x:v>
      </x:c>
      <x:c r="Z61" s="24" t="str">
        <x:f>IF(OR(G61="",H61=""),"",H61-G61)</x:f>
      </x:c>
    </x:row>
    <x:row r="62" ht="42" customHeight="1">
      <x:c r="A62" s="10" t="n">
        <x:v>61</x:v>
      </x:c>
      <x:c r="B62" s="10" t="n">
        <x:v>13382</x:v>
      </x:c>
      <x:c r="C62" s="10" t="str">
        <x:v>Entrevista Tierra Canela</x:v>
      </x:c>
      <x:c r="D62" s="10" t="str">
        <x:v>Leo Sailema</x:v>
      </x:c>
      <x:c r="E62" s="10" t="str">
        <x:v>Zeus Producciones</x:v>
      </x:c>
      <x:c r="F62" s="10" t="str">
        <x:v>Completada</x:v>
      </x:c>
      <x:c r="G62" s="23" t="n">
        <x:v>45946.61054398148</x:v>
      </x:c>
      <x:c r="H62" s="23" t="n">
        <x:v>45948.958333333336</x:v>
      </x:c>
      <x:c r="I62" s="23" t="n">
        <x:v>45950.576203703706</x:v>
      </x:c>
      <x:c r="J62" s="10" t="str">
        <x:v>Luis Lara, Pam Villa, Diego Flores (grafía por confirmar), Isabela Orozco, Andrés Flores, Zeus Producciones, Edwin Naula, Leo Sailema, Stalin Loaiza, William Mungabusi</x:v>
      </x:c>
      <x:c r="K62" s="10" t="str"/>
      <x:c r="L62" s="10"/>
      <x:c r="M62" s="10" t="str">
        <x:v>F26-12-AV</x:v>
      </x:c>
      <x:c r="N62" s="10" t="str">
        <x:v>Producción audiovisual</x:v>
      </x:c>
      <x:c r="O62" s="10" t="str">
        <x:v>Rodajes, entrevistas, streaming y entregables</x:v>
      </x:c>
      <x:c r="P62" s="10" t="str">
        <x:v>Convertir con control</x:v>
      </x:c>
      <x:c r="Q62" s="10" t="str">
        <x:v>Medio</x:v>
      </x:c>
      <x:c r="R62" s="10" t="str">
        <x:v>Coordinación diseño/audiovisual — Andrés Naula</x:v>
      </x:c>
      <x:c r="S62" s="10" t="str">
        <x:v>Coordinación general + dirección de marketing</x:v>
      </x:c>
      <x:c r="T62" s="10" t="str">
        <x:v>Expectativa, conversión y vivo</x:v>
      </x:c>
      <x:c r="U62" s="10" t="str">
        <x:v>Guion, derechos, agenda, scouting, equipo y plan técnico aprobados</x:v>
      </x:c>
      <x:c r="V62" s="10" t="str">
        <x:v>Guion, derechos, agenda, scouting, equipo y plan técnico aprobados</x:v>
      </x:c>
      <x:c r="W62" s="10" t="str">
        <x:v>programa de antesala de feria con la participacion de tierra canela las 5 integrantes entrevistados por alejandro flores a tono descomplicado se abordara temas de participacion en feria finados y desarollo de preguntas a las chicas en base a su trayectoria y vivencias ademas se realizara dinamicas de interaccion ejemplo hacer bailar el trompo, carrera de ensacados, caminata con huevo y cuchara, desarollar penitencias en la ronda de preguntas candentes, cierre con invitacion al publico a la feria finados 2025 canales de emicion: youtube: mushuc tv facebook: mushuc tv tiktok: feria finados compartir la transmicion oficial en las cuentas de los invitados y compejo - Actividades En el en vivo baja un dedo si haz hecho esto en tu vida. Carrera de ensacados Huevo en la cuchara preguntas candentes y penitencia Previa Baile afuera de la mushuc runa Baile de ellas Yo nunca nunca requerimiento tecnico mushuc live tierra canela pagina de finados tik tok fecha 18/10/2025 lugar complejo mushuc runa Princesa toa hora 11:00 recepcion de guion literario personal descripcion de actividad productor / jefe de piso leonardo sailema alinea el contenido, enlista las actividades según el guin literario y dirigeel programa y la conversacion jefe tecnico ivan solano direccion tecnica de stage, equipamento, coordinación de requerimientos con productor y logistica logistica - logistica sillas complejo llevar las sillas, colocar en el set, recoger y llevar las sillas de retorno logistica mesa complejo llevar mesa, colocar la mesa en el set, lleavar la mesa de retorno sonidista / microfonia externo preparacion de equipos, movilizacion, armado en set, master switch Andres Naula direccion de camaras camara 1 william mungabusi armado y supervision de camaras roboticas via red camara 2 william mungabusi supervisado y soporte camara 3 william mungabusi supervisado y soporte operador de drone externo conexión de drone operación y almacenamiento tramoya - logistica iluminacion diego lleavar las luces, colocar las luces, asistencia tecnica en set, recoger y retornar presentador alejandro flores recibe el guion investiga al invitado y ejecuta la entrevista preguntas candentes pamela villa presencia del jefe leonardo sailema gestiona y certifica la presencia de jefe en sitio almenos 20 min antes de la transmicion voz en off internet provee cordinador o tecnico gestion de punto de internet dedicado de 100 megas simetrico logistica coordinación artistica /invitados estalin loaiza contacta y confirma invitados, influencer o Artista y gestiona catering para invitados y equipo</x:v>
      </x:c>
      <x:c r="X62" s="10" t="str">
        <x:v>No</x:v>
      </x:c>
      <x:c r="Y62" s="10" t="str">
        <x:f>IF(F62&lt;&gt;"Completada","Sin cierre",IF(OR(H62="",I62=""),"Sin dato",IF(I62&lt;=H62,"A tiempo","Tarde")))</x:f>
        <x:v>Tarde</x:v>
      </x:c>
      <x:c r="Z62" s="24" t="n">
        <x:f>IF(OR(G62="",H62=""),"",H62-G62)</x:f>
        <x:v>2.3477893518575</x:v>
      </x:c>
    </x:row>
    <x:row r="63" ht="42" customHeight="1">
      <x:c r="A63" s="10" t="n">
        <x:v>62</x:v>
      </x:c>
      <x:c r="B63" s="10" t="n">
        <x:v>13388</x:v>
      </x:c>
      <x:c r="C63" s="10" t="str">
        <x:v>TikTok informativo - Antes que te duermas</x:v>
      </x:c>
      <x:c r="D63" s="10" t="str">
        <x:v>Zeus Producciones</x:v>
      </x:c>
      <x:c r="E63" s="10" t="str">
        <x:v>Zeus Producciones</x:v>
      </x:c>
      <x:c r="F63" s="10" t="str">
        <x:v>Completada</x:v>
      </x:c>
      <x:c r="G63" s="23" t="n">
        <x:v>45946.66357638889</x:v>
      </x:c>
      <x:c r="H63" s="23" t="n">
        <x:v>45957.958333333336</x:v>
      </x:c>
      <x:c r="I63" s="23" t="n">
        <x:v>45950.58194444444</x:v>
      </x:c>
      <x:c r="J63" s="10" t="str">
        <x:v>Edwin Naula, Leo Sailema</x:v>
      </x:c>
      <x:c r="K63" s="10" t="str"/>
      <x:c r="L63" s="10"/>
      <x:c r="M63" s="10" t="str">
        <x:v>F26-06-CONT</x:v>
      </x:c>
      <x:c r="N63" s="10" t="str">
        <x:v>Marketing y comunicación</x:v>
      </x:c>
      <x:c r="O63" s="10" t="str">
        <x:v>Sistema editorial, redes y piezas recurrentes</x:v>
      </x:c>
      <x:c r="P63" s="10" t="str">
        <x:v>Consolidar en paquete 2026</x:v>
      </x:c>
      <x:c r="Q63" s="10" t="str">
        <x:v>Medio</x:v>
      </x:c>
      <x:c r="R63" s="10" t="str">
        <x:v>Coordinación comunicación — Andrés (apellido por confirmar)</x:v>
      </x:c>
      <x:c r="S63" s="10" t="str">
        <x:v>Dirección de marketing — Andrés Naranjo</x:v>
      </x:c>
      <x:c r="T63" s="10" t="str">
        <x:v>Expectativa y conversión</x:v>
      </x:c>
      <x:c r="U63" s="10" t="str">
        <x:v>Brief, fuente vigente, CTA verificable y QA antes de publicar</x:v>
      </x:c>
      <x:c r="V63" s="10" t="str">
        <x:v>Evitar microtareas ad hoc; trabajar desde un brief, plantilla, dueño y fecha de aprobación.</x:v>
      </x:c>
      <x:c r="W63" s="10" t="str">
        <x:v>Todos los días, de 5:00 a 5:30 p.m., realizaremos un live en TikTok lleno de energía y buena música para animar a nuestra audiencia. Durante la transmisión, compartiremos información actualizada sobre los eventos programados y actividades que se llevarán a cabo, asegurándonos de mantener a todos informados y entusiasmados. Además, cada día invitaremos a un miembro del equipo para que colabore durante 5 minutos junto a Leo, creando un ambiente dinámico y divertido, similar a un programa de radio alegre y juvenil. ¡No te lo pierdas!</x:v>
      </x:c>
      <x:c r="X63" s="10" t="str">
        <x:v>No</x:v>
      </x:c>
      <x:c r="Y63" s="10" t="str">
        <x:f>IF(F63&lt;&gt;"Completada","Sin cierre",IF(OR(H63="",I63=""),"Sin dato",IF(I63&lt;=H63,"A tiempo","Tarde")))</x:f>
        <x:v>A tiempo</x:v>
      </x:c>
      <x:c r="Z63" s="24" t="n">
        <x:f>IF(OR(G63="",H63=""),"",H63-G63)</x:f>
        <x:v>11.294756944444089</x:v>
      </x:c>
    </x:row>
    <x:row r="64" ht="42" customHeight="1">
      <x:c r="A64" s="10" t="n">
        <x:v>63</x:v>
      </x:c>
      <x:c r="B64" s="10" t="n">
        <x:v>13392</x:v>
      </x:c>
      <x:c r="C64" s="10" t="str">
        <x:v>SHORTS ESTILO KARAOKE</x:v>
      </x:c>
      <x:c r="D64" s="10" t="str">
        <x:v>Edwin Naula</x:v>
      </x:c>
      <x:c r="E64" s="10" t="str">
        <x:v>Edwin Naula</x:v>
      </x:c>
      <x:c r="F64" s="10" t="str">
        <x:v>Completada</x:v>
      </x:c>
      <x:c r="G64" s="23" t="n">
        <x:v>45946.71996527778</x:v>
      </x:c>
      <x:c r="H64" s="23" t="n">
        <x:v>45946.979166666664</x:v>
      </x:c>
      <x:c r="I64" s="23" t="n">
        <x:v>45946.98105324074</x:v>
      </x:c>
      <x:c r="J64" s="10" t="str">
        <x:v>Diego Flores (grafía por confirmar)</x:v>
      </x:c>
      <x:c r="K64" s="10" t="str"/>
      <x:c r="L64" s="10"/>
      <x:c r="M64" s="10" t="str">
        <x:v>F26-07-SHOW</x:v>
      </x:c>
      <x:c r="N64" s="10" t="str">
        <x:v>Programación y marketing</x:v>
      </x:c>
      <x:c r="O64" s="10" t="str">
        <x:v>Shows, artistas y programación bajo embargo</x:v>
      </x:c>
      <x:c r="P64" s="10" t="str">
        <x:v>Convertir con control</x:v>
      </x:c>
      <x:c r="Q64" s="10" t="str">
        <x:v>Alto</x:v>
      </x:c>
      <x:c r="R64" s="10" t="str">
        <x:v>Programación + coordinación comunicación</x:v>
      </x:c>
      <x:c r="S64" s="10" t="str">
        <x:v>Dirección + programación + derechos</x:v>
      </x:c>
      <x:c r="T64" s="10" t="str">
        <x:v>Revelación y conversión</x:v>
      </x:c>
      <x:c r="U64" s="10" t="str">
        <x:v>Contrato, grafía, día, horario, derechos, embargo y oferta confirmados</x:v>
      </x:c>
      <x:c r="V64" s="10" t="str">
        <x:v>Contrato, grafía, día, horario, derechos, embargo y oferta confirmados</x:v>
      </x:c>
      <x:c r="W64" s="10" t="str">
        <x:v>video de artistas con su letra estilo Karaoke</x:v>
      </x:c>
      <x:c r="X64" s="10" t="str">
        <x:v>No</x:v>
      </x:c>
      <x:c r="Y64" s="10" t="str">
        <x:f>IF(F64&lt;&gt;"Completada","Sin cierre",IF(OR(H64="",I64=""),"Sin dato",IF(I64&lt;=H64,"A tiempo","Tarde")))</x:f>
        <x:v>Tarde</x:v>
      </x:c>
      <x:c r="Z64" s="24" t="n">
        <x:f>IF(OR(G64="",H64=""),"",H64-G64)</x:f>
        <x:v>0.2592013888861402</x:v>
      </x:c>
    </x:row>
    <x:row r="65" ht="42" customHeight="1">
      <x:c r="A65" s="10" t="n">
        <x:v>64</x:v>
      </x:c>
      <x:c r="B65" s="10" t="n">
        <x:v>13394</x:v>
      </x:c>
      <x:c r="C65" s="10" t="str">
        <x:v>ACTUALIZACION CON LOGOTIPOS DE STANDS EMPRESARIALES</x:v>
      </x:c>
      <x:c r="D65" s="10" t="str">
        <x:v>Edwin Naula</x:v>
      </x:c>
      <x:c r="E65" s="10" t="str">
        <x:v>Edwin Naula</x:v>
      </x:c>
      <x:c r="F65" s="10" t="str">
        <x:v>Completada</x:v>
      </x:c>
      <x:c r="G65" s="23" t="n">
        <x:v>45946.74505787037</x:v>
      </x:c>
      <x:c r="H65" s="23" t="n">
        <x:v>45946.958333333336</x:v>
      </x:c>
      <x:c r="I65" s="23" t="n">
        <x:v>45946.747407407405</x:v>
      </x:c>
      <x:c r="J65" s="10" t="str">
        <x:v>Stalin Flores</x:v>
      </x:c>
      <x:c r="K65" s="10" t="str"/>
      <x:c r="L65" s="10"/>
      <x:c r="M65" s="10" t="str">
        <x:v>F26-04-EXP</x:v>
      </x:c>
      <x:c r="N65" s="10" t="str">
        <x:v>Expositores y comercialización</x:v>
      </x:c>
      <x:c r="O65" s="10" t="str">
        <x:v>Stands, expositores y narrativa comercial</x:v>
      </x:c>
      <x:c r="P65" s="10" t="str">
        <x:v>Consolidar en paquete 2026</x:v>
      </x:c>
      <x:c r="Q65" s="10" t="str">
        <x:v>Medio</x:v>
      </x:c>
      <x:c r="R65" s="10" t="str">
        <x:v>Dueño de expositores — por asignar</x:v>
      </x:c>
      <x:c r="S65" s="10" t="str">
        <x:v>Dirección/comercial + operación</x:v>
      </x:c>
      <x:c r="T65" s="10" t="str">
        <x:v>Revelación y preventa</x:v>
      </x:c>
      <x:c r="U65" s="10" t="str">
        <x:v>Inventario, precios, políticas y capacidad aprobados</x:v>
      </x:c>
      <x:c r="V65" s="10" t="str">
        <x:v>Evitar microtareas ad hoc; trabajar desde un brief, plantilla, dueño y fecha de aprobación.</x:v>
      </x:c>
      <x:c r="W65" s="10" t="str">
        <x:v>Montaje de logotipos en stands empresariales para geolocalización</x:v>
      </x:c>
      <x:c r="X65" s="10" t="str">
        <x:v>No</x:v>
      </x:c>
      <x:c r="Y65" s="10" t="str">
        <x:f>IF(F65&lt;&gt;"Completada","Sin cierre",IF(OR(H65="",I65=""),"Sin dato",IF(I65&lt;=H65,"A tiempo","Tarde")))</x:f>
        <x:v>A tiempo</x:v>
      </x:c>
      <x:c r="Z65" s="24" t="n">
        <x:f>IF(OR(G65="",H65=""),"",H65-G65)</x:f>
        <x:v>0.21327546296379296</x:v>
      </x:c>
    </x:row>
    <x:row r="66" ht="42" customHeight="1">
      <x:c r="A66" s="10" t="n">
        <x:v>65</x:v>
      </x:c>
      <x:c r="B66" s="10" t="n">
        <x:v>13396</x:v>
      </x:c>
      <x:c r="C66" s="10" t="str">
        <x:v>POST DE SELECCIÓN DE ARTITAS POR EMOJIS</x:v>
      </x:c>
      <x:c r="D66" s="10" t="str">
        <x:v>Edwin Naula</x:v>
      </x:c>
      <x:c r="E66" s="10" t="str">
        <x:v>Edwin Naula</x:v>
      </x:c>
      <x:c r="F66" s="10" t="str">
        <x:v>Completada</x:v>
      </x:c>
      <x:c r="G66" s="23" t="n">
        <x:v>45946.75638888889</x:v>
      </x:c>
      <x:c r="H66" s="23" t="n">
        <x:v>45946.979166666664</x:v>
      </x:c>
      <x:c r="I66" s="23" t="n">
        <x:v>45946.97462962963</x:v>
      </x:c>
      <x:c r="J66" s="10" t="str">
        <x:v>Pam Villa, Stalin Flores</x:v>
      </x:c>
      <x:c r="K66" s="10" t="str"/>
      <x:c r="L66" s="10"/>
      <x:c r="M66" s="10" t="str">
        <x:v>F26-07-SHOW</x:v>
      </x:c>
      <x:c r="N66" s="10" t="str">
        <x:v>Programación y marketing</x:v>
      </x:c>
      <x:c r="O66" s="10" t="str">
        <x:v>Shows, artistas y programación bajo embargo</x:v>
      </x:c>
      <x:c r="P66" s="10" t="str">
        <x:v>Convertir con control</x:v>
      </x:c>
      <x:c r="Q66" s="10" t="str">
        <x:v>Alto</x:v>
      </x:c>
      <x:c r="R66" s="10" t="str">
        <x:v>Programación + coordinación comunicación</x:v>
      </x:c>
      <x:c r="S66" s="10" t="str">
        <x:v>Dirección + programación + derechos</x:v>
      </x:c>
      <x:c r="T66" s="10" t="str">
        <x:v>Revelación y conversión</x:v>
      </x:c>
      <x:c r="U66" s="10" t="str">
        <x:v>Contrato, grafía, día, horario, derechos, embargo y oferta confirmados</x:v>
      </x:c>
      <x:c r="V66" s="10" t="str">
        <x:v>Contrato, grafía, día, horario, derechos, embargo y oferta confirmados</x:v>
      </x:c>
      <x:c r="W66" s="10" t="str">
        <x:v>La idea es tener un arte en formatos de 4:5 y 9:16 con los principales artistas y designarles un emoji para que las personas interactúen y voten por su artista favorito</x:v>
      </x:c>
      <x:c r="X66" s="10" t="str">
        <x:v>No</x:v>
      </x:c>
      <x:c r="Y66" s="10" t="str">
        <x:f>IF(F66&lt;&gt;"Completada","Sin cierre",IF(OR(H66="",I66=""),"Sin dato",IF(I66&lt;=H66,"A tiempo","Tarde")))</x:f>
        <x:v>A tiempo</x:v>
      </x:c>
      <x:c r="Z66" s="24" t="n">
        <x:f>IF(OR(G66="",H66=""),"",H66-G66)</x:f>
        <x:v>0.22277777777344454</x:v>
      </x:c>
    </x:row>
    <x:row r="67" ht="42" customHeight="1">
      <x:c r="A67" s="10" t="n">
        <x:v>66</x:v>
      </x:c>
      <x:c r="B67" s="10" t="n">
        <x:v>13398</x:v>
      </x:c>
      <x:c r="C67" s="10" t="str">
        <x:v>ARTE EXPLICATIVO DE LOS BOLETOS DORADOS</x:v>
      </x:c>
      <x:c r="D67" s="10" t="str">
        <x:v>Edwin Naula</x:v>
      </x:c>
      <x:c r="E67" s="10" t="str">
        <x:v>Edwin Naula</x:v>
      </x:c>
      <x:c r="F67" s="10" t="str">
        <x:v>Completada</x:v>
      </x:c>
      <x:c r="G67" s="23" t="n">
        <x:v>45946.76269675926</x:v>
      </x:c>
      <x:c r="H67" s="23" t="n">
        <x:v>45946.958333333336</x:v>
      </x:c>
      <x:c r="I67" s="23" t="n">
        <x:v>45946.93444444444</x:v>
      </x:c>
      <x:c r="J67" s="10" t="str">
        <x:v>Pam Villa, Valery Paredes</x:v>
      </x:c>
      <x:c r="K67" s="10" t="str"/>
      <x:c r="L67" s="10"/>
      <x:c r="M67" s="10" t="str">
        <x:v>F26-05-ENT</x:v>
      </x:c>
      <x:c r="N67" s="10" t="str">
        <x:v>Entradas y conversión</x:v>
      </x:c>
      <x:c r="O67" s="10" t="str">
        <x:v>Preventa, boletería, puntos y disponibilidad</x:v>
      </x:c>
      <x:c r="P67" s="10" t="str">
        <x:v>No repetir mecánica; rescatar el principio</x:v>
      </x:c>
      <x:c r="Q67" s="10" t="str">
        <x:v>Alto</x:v>
      </x:c>
      <x:c r="R67" s="10" t="str">
        <x:v>Dueño de entradas/comercial — por asignar</x:v>
      </x:c>
      <x:c r="S67" s="10" t="str">
        <x:v>Dirección + finanzas + operación</x:v>
      </x:c>
      <x:c r="T67" s="10" t="str">
        <x:v>Revelación y preventa</x:v>
      </x:c>
      <x:c r="U67" s="10" t="str">
        <x:v>Oferta, precios, aforo, términos, destino seguro y compra de prueba</x:v>
      </x:c>
      <x:c r="V67" s="10" t="str">
        <x:v>El boleto dorado está reportado como saturado; sustituir por una experiencia nueva, limitada y verificable.</x:v>
      </x:c>
      <x:c r="W67" s="10" t="str">
        <x:v>Se necesita un arte en formato 9:16 y 4:5 sobre quienes podran ganar el pase dorado y cual sera la mecanica a forma general. Se debe tener en cuenta: - 1 PASE DORADO: Sorteado en Facebook - 2 PASE DORADO: Sorteado en Instagram - 3 PASE DORADO: Sorteado entre la comunidad de whatsapp - 4 PASE DORADO: TIK TOK</x:v>
      </x:c>
      <x:c r="X67" s="10" t="str">
        <x:v>No</x:v>
      </x:c>
      <x:c r="Y67" s="10" t="str">
        <x:f>IF(F67&lt;&gt;"Completada","Sin cierre",IF(OR(H67="",I67=""),"Sin dato",IF(I67&lt;=H67,"A tiempo","Tarde")))</x:f>
        <x:v>A tiempo</x:v>
      </x:c>
      <x:c r="Z67" s="24" t="n">
        <x:f>IF(OR(G67="",H67=""),"",H67-G67)</x:f>
        <x:v>0.1956365740770707</x:v>
      </x:c>
    </x:row>
    <x:row r="68" ht="42" customHeight="1">
      <x:c r="A68" s="10" t="n">
        <x:v>67</x:v>
      </x:c>
      <x:c r="B68" s="10" t="n">
        <x:v>13404</x:v>
      </x:c>
      <x:c r="C68" s="10" t="str">
        <x:v>LONA DE IMPRESION PARA ACTIVACION ENTRETIEMPO ESTADIO ECHALECHE</x:v>
      </x:c>
      <x:c r="D68" s="10" t="str">
        <x:v>Edwin Naula</x:v>
      </x:c>
      <x:c r="E68" s="10" t="str">
        <x:v>Edwin Naula</x:v>
      </x:c>
      <x:c r="F68" s="10" t="str">
        <x:v>Completada</x:v>
      </x:c>
      <x:c r="G68" s="23" t="n">
        <x:v>45946.83194444444</x:v>
      </x:c>
      <x:c r="H68" s="23" t="n">
        <x:v>45947.958333333336</x:v>
      </x:c>
      <x:c r="I68" s="23" t="n">
        <x:v>45946.97390046297</x:v>
      </x:c>
      <x:c r="J68" s="10" t="str">
        <x:v>Stalin Flores, Edwin Masa Sisa (identidad por confirmar)</x:v>
      </x:c>
      <x:c r="K68" s="10" t="str"/>
      <x:c r="L68" s="10"/>
      <x:c r="M68" s="10" t="str">
        <x:v>F26-11-ACT</x:v>
      </x:c>
      <x:c r="N68" s="10" t="str">
        <x:v>Activaciones territoriales</x:v>
      </x:c>
      <x:c r="O68" s="10" t="str">
        <x:v>Calle, estadio, perifoneo y alianzas de distribución</x:v>
      </x:c>
      <x:c r="P68" s="10" t="str">
        <x:v>Convertir con control</x:v>
      </x:c>
      <x:c r="Q68" s="10" t="str">
        <x:v>Medio</x:v>
      </x:c>
      <x:c r="R68" s="10" t="str">
        <x:v>Producción — Iván (apellido por confirmar) + comunicación</x:v>
      </x:c>
      <x:c r="S68" s="10" t="str">
        <x:v>Coordinación general + operación/seguridad</x:v>
      </x:c>
      <x:c r="T68" s="10" t="str">
        <x:v>Conversión</x:v>
      </x:c>
      <x:c r="U68" s="10" t="str">
        <x:v>Permisos, ruta, seguridad, materiales y medición definidos</x:v>
      </x:c>
      <x:c r="V68" s="10" t="str">
        <x:v>Permisos, ruta, seguridad, materiales y medición definidos</x:v>
      </x:c>
      <x:c r="W68" s="10" t="str">
        <x:v>Lona de 3x2 mts</x:v>
      </x:c>
      <x:c r="X68" s="10" t="str">
        <x:v>No</x:v>
      </x:c>
      <x:c r="Y68" s="10" t="str">
        <x:f>IF(F68&lt;&gt;"Completada","Sin cierre",IF(OR(H68="",I68=""),"Sin dato",IF(I68&lt;=H68,"A tiempo","Tarde")))</x:f>
        <x:v>A tiempo</x:v>
      </x:c>
      <x:c r="Z68" s="24" t="n">
        <x:f>IF(OR(G68="",H68=""),"",H68-G68)</x:f>
        <x:v>1.1263888888934162</x:v>
      </x:c>
    </x:row>
    <x:row r="69" ht="42" customHeight="1">
      <x:c r="A69" s="10" t="n">
        <x:v>68</x:v>
      </x:c>
      <x:c r="B69" s="10" t="n">
        <x:v>13416</x:v>
      </x:c>
      <x:c r="C69" s="10" t="str">
        <x:v>POST 4-5 FALTAN 14 DIAS</x:v>
      </x:c>
      <x:c r="D69" s="10" t="str">
        <x:v>Edwin Naula</x:v>
      </x:c>
      <x:c r="E69" s="10" t="str">
        <x:v>Edwin Naula</x:v>
      </x:c>
      <x:c r="F69" s="10" t="str">
        <x:v>Completada</x:v>
      </x:c>
      <x:c r="G69" s="23" t="n">
        <x:v>45947.45857638889</x:v>
      </x:c>
      <x:c r="H69" s="23" t="n">
        <x:v>45947.958333333336</x:v>
      </x:c>
      <x:c r="I69" s="23" t="n">
        <x:v>45947.82943287037</x:v>
      </x:c>
      <x:c r="J69" s="10" t="str">
        <x:v>Pam Villa, Diego Flores (grafía por confirmar)</x:v>
      </x:c>
      <x:c r="K69" s="10" t="str">
        <x:v>Diseño</x:v>
      </x:c>
      <x:c r="L69" s="10"/>
      <x:c r="M69" s="10" t="str">
        <x:v>F26-06-CONT</x:v>
      </x:c>
      <x:c r="N69" s="10" t="str">
        <x:v>Marketing y comunicación</x:v>
      </x:c>
      <x:c r="O69" s="10" t="str">
        <x:v>Sistema editorial, redes y piezas recurrentes</x:v>
      </x:c>
      <x:c r="P69" s="10" t="str">
        <x:v>Consolidar en paquete 2026</x:v>
      </x:c>
      <x:c r="Q69" s="10" t="str">
        <x:v>Medio</x:v>
      </x:c>
      <x:c r="R69" s="10" t="str">
        <x:v>Coordinación comunicación — Andrés (apellido por confirmar)</x:v>
      </x:c>
      <x:c r="S69" s="10" t="str">
        <x:v>Dirección de marketing — Andrés Naranjo</x:v>
      </x:c>
      <x:c r="T69" s="10" t="str">
        <x:v>Expectativa y conversión</x:v>
      </x:c>
      <x:c r="U69" s="10" t="str">
        <x:v>Brief, fuente vigente, CTA verificable y QA antes de publicar</x:v>
      </x:c>
      <x:c r="V69" s="10" t="str">
        <x:v>Evitar microtareas ad hoc; trabajar desde un brief, plantilla, dueño y fecha de aprobación.</x:v>
      </x:c>
      <x:c r="W69" s="10" t="str">
        <x:v>POST 4:5 CONTADOR FALTAN 15 DÍAS: ¡Falton solo 15 días para disfrutar de Finados Mushuc Runa 2025! ¿ya tienes tus entradas? Cómpralas en: Cooperativa Mushuc Runa y Hotel Emperador.</x:v>
      </x:c>
      <x:c r="X69" s="10" t="str">
        <x:v>No</x:v>
      </x:c>
      <x:c r="Y69" s="10" t="str">
        <x:f>IF(F69&lt;&gt;"Completada","Sin cierre",IF(OR(H69="",I69=""),"Sin dato",IF(I69&lt;=H69,"A tiempo","Tarde")))</x:f>
        <x:v>A tiempo</x:v>
      </x:c>
      <x:c r="Z69" s="24" t="n">
        <x:f>IF(OR(G69="",H69=""),"",H69-G69)</x:f>
        <x:v>0.49975694444583496</x:v>
      </x:c>
    </x:row>
    <x:row r="70" ht="42" customHeight="1">
      <x:c r="A70" s="10" t="n">
        <x:v>69</x:v>
      </x:c>
      <x:c r="B70" s="10" t="n">
        <x:v>13418</x:v>
      </x:c>
      <x:c r="C70" s="10" t="str">
        <x:v>¡𝟏4 𝐃𝐈́𝐀𝐒!</x:v>
      </x:c>
      <x:c r="D70" s="10" t="str">
        <x:v>Edwin Naula</x:v>
      </x:c>
      <x:c r="E70" s="10" t="str">
        <x:v>Edwin Naula</x:v>
      </x:c>
      <x:c r="F70" s="10" t="str">
        <x:v>Completada</x:v>
      </x:c>
      <x:c r="G70" s="23" t="n">
        <x:v>45947.45857638889</x:v>
      </x:c>
      <x:c r="H70" s="23" t="n">
        <x:v>45947.958333333336</x:v>
      </x:c>
      <x:c r="I70" s="23" t="n">
        <x:v>45947.70506944445</x:v>
      </x:c>
      <x:c r="J70" s="10" t="str">
        <x:v>Pam Villa, Diego Flores (grafía por confirmar)</x:v>
      </x:c>
      <x:c r="K70" s="10" t="str">
        <x:v>Conciertos, diversión, ecuador, Finados2025, tradiciones, Diseño</x:v>
      </x:c>
      <x:c r="L70" s="10"/>
      <x:c r="M70" s="10" t="str">
        <x:v>F26-07-SHOW</x:v>
      </x:c>
      <x:c r="N70" s="10" t="str">
        <x:v>Programación y marketing</x:v>
      </x:c>
      <x:c r="O70" s="10" t="str">
        <x:v>Shows, artistas y programación bajo embargo</x:v>
      </x:c>
      <x:c r="P70" s="10" t="str">
        <x:v>Convertir con control</x:v>
      </x:c>
      <x:c r="Q70" s="10" t="str">
        <x:v>Alto</x:v>
      </x:c>
      <x:c r="R70" s="10" t="str">
        <x:v>Programación + coordinación comunicación</x:v>
      </x:c>
      <x:c r="S70" s="10" t="str">
        <x:v>Dirección + programación + derechos</x:v>
      </x:c>
      <x:c r="T70" s="10" t="str">
        <x:v>Revelación y conversión</x:v>
      </x:c>
      <x:c r="U70" s="10" t="str">
        <x:v>Contrato, grafía, día, horario, derechos, embargo y oferta confirmados</x:v>
      </x:c>
      <x:c r="V70" s="10" t="str">
        <x:v>Contrato, grafía, día, horario, derechos, embargo y oferta confirmados</x:v>
      </x:c>
      <x:c r="W70" s="10" t="str">
        <x:v>REEL (9:16) ¡𝟏4 𝐃𝐈́𝐀𝐒! Se viene la feria de finados más esperada del año 🔥 y ya la sentimos así💃 𝑭𝒊𝒏𝒂𝒅𝒐𝒔 𝑴𝒖𝒔𝒉𝒖𝒄 𝑹𝒖𝒏𝒂, 𝒅𝒆𝒍 31 𝒅𝒆 𝒐𝒄𝒕𝒖𝒃𝒓𝒆 𝒂𝒍 4 𝒅𝒆 𝒏𝒐𝒗𝒊𝒆𝒎𝒃𝒓𝒆. 🎢🎡🔝 #Finados2025 #tradiciones #ecuador #Conciertos #diversión</x:v>
      </x:c>
      <x:c r="X70" s="10" t="str">
        <x:v>No</x:v>
      </x:c>
      <x:c r="Y70" s="10" t="str">
        <x:f>IF(F70&lt;&gt;"Completada","Sin cierre",IF(OR(H70="",I70=""),"Sin dato",IF(I70&lt;=H70,"A tiempo","Tarde")))</x:f>
        <x:v>A tiempo</x:v>
      </x:c>
      <x:c r="Z70" s="24" t="n">
        <x:f>IF(OR(G70="",H70=""),"",H70-G70)</x:f>
        <x:v>0.49975694444583496</x:v>
      </x:c>
    </x:row>
    <x:row r="71" ht="42" customHeight="1">
      <x:c r="A71" s="10" t="n">
        <x:v>70</x:v>
      </x:c>
      <x:c r="B71" s="10" t="n">
        <x:v>13420</x:v>
      </x:c>
      <x:c r="C71" s="10" t="str">
        <x:v>RECAP GIRA DE MEDIOS</x:v>
      </x:c>
      <x:c r="D71" s="10" t="str">
        <x:v>Edwin Naula</x:v>
      </x:c>
      <x:c r="E71" s="10" t="str">
        <x:v>Edwin Naula</x:v>
      </x:c>
      <x:c r="F71" s="10" t="str">
        <x:v>Completada</x:v>
      </x:c>
      <x:c r="G71" s="23" t="n">
        <x:v>45947.45857638889</x:v>
      </x:c>
      <x:c r="H71" s="23" t="n">
        <x:v>45947.958333333336</x:v>
      </x:c>
      <x:c r="I71" s="23" t="n">
        <x:v>45947.84378472222</x:v>
      </x:c>
      <x:c r="J71" s="10" t="str"/>
      <x:c r="K71" s="10" t="str">
        <x:v>Diseño</x:v>
      </x:c>
      <x:c r="L71" s="10"/>
      <x:c r="M71" s="10" t="str">
        <x:v>F26-10-PR</x:v>
      </x:c>
      <x:c r="N71" s="10" t="str">
        <x:v>Relaciones públicas</x:v>
      </x:c>
      <x:c r="O71" s="10" t="str">
        <x:v>Prensa, radios, giras y vocerías</x:v>
      </x:c>
      <x:c r="P71" s="10" t="str">
        <x:v>Convertir con control</x:v>
      </x:c>
      <x:c r="Q71" s="10" t="str">
        <x:v>Medio</x:v>
      </x:c>
      <x:c r="R71" s="10" t="str">
        <x:v>Relaciones públicas — Are Morales</x:v>
      </x:c>
      <x:c r="S71" s="10" t="str">
        <x:v>Dirección + vocero autorizado</x:v>
      </x:c>
      <x:c r="T71" s="10" t="str">
        <x:v>Revelación y conversión</x:v>
      </x:c>
      <x:c r="U71" s="10" t="str">
        <x:v>Mensajes, agenda, vocero, ficha factual y monitoreo aprobados</x:v>
      </x:c>
      <x:c r="V71" s="10" t="str">
        <x:v>Mensajes, agenda, vocero, ficha factual y monitoreo aprobados</x:v>
      </x:c>
      <x:c r="W71" s="10" t="str">
        <x:v>REEL (9:16)</x:v>
      </x:c>
      <x:c r="X71" s="10" t="str">
        <x:v>No</x:v>
      </x:c>
      <x:c r="Y71" s="10" t="str">
        <x:f>IF(F71&lt;&gt;"Completada","Sin cierre",IF(OR(H71="",I71=""),"Sin dato",IF(I71&lt;=H71,"A tiempo","Tarde")))</x:f>
        <x:v>A tiempo</x:v>
      </x:c>
      <x:c r="Z71" s="24" t="n">
        <x:f>IF(OR(G71="",H71=""),"",H71-G71)</x:f>
        <x:v>0.49975694444583496</x:v>
      </x:c>
    </x:row>
    <x:row r="72" ht="42" customHeight="1">
      <x:c r="A72" s="10" t="n">
        <x:v>71</x:v>
      </x:c>
      <x:c r="B72" s="10" t="n">
        <x:v>13422</x:v>
      </x:c>
      <x:c r="C72" s="10" t="str">
        <x:v>GUAGUA DE PAN</x:v>
      </x:c>
      <x:c r="D72" s="10" t="str">
        <x:v>Edwin Naula</x:v>
      </x:c>
      <x:c r="E72" s="10" t="str">
        <x:v>Edwin Naula</x:v>
      </x:c>
      <x:c r="F72" s="10" t="str">
        <x:v>Completada</x:v>
      </x:c>
      <x:c r="G72" s="23" t="n">
        <x:v>45947.45858796296</x:v>
      </x:c>
      <x:c r="H72" s="23" t="n">
        <x:v>45947.958333333336</x:v>
      </x:c>
      <x:c r="I72" s="23" t="n">
        <x:v>45947.86017361111</x:v>
      </x:c>
      <x:c r="J72" s="10" t="str"/>
      <x:c r="K72" s="10" t="str">
        <x:v>Diseño</x:v>
      </x:c>
      <x:c r="L72" s="10"/>
      <x:c r="M72" s="10" t="str">
        <x:v>F26-08-TRAD</x:v>
      </x:c>
      <x:c r="N72" s="10" t="str">
        <x:v>Experiencia y cultura</x:v>
      </x:c>
      <x:c r="O72" s="10" t="str">
        <x:v>Tradición, concursos, rituales y cinco jornadas</x:v>
      </x:c>
      <x:c r="P72" s="10" t="str">
        <x:v>Convertir con control</x:v>
      </x:c>
      <x:c r="Q72" s="10" t="str">
        <x:v>Medio</x:v>
      </x:c>
      <x:c r="R72" s="10" t="str">
        <x:v>Experiencia + aprobación cultural — por asignar</x:v>
      </x:c>
      <x:c r="S72" s="10" t="str">
        <x:v>Dirección + comunidad/cultura + operación</x:v>
      </x:c>
      <x:c r="T72" s="10" t="str">
        <x:v>Expectativa y experiencia</x:v>
      </x:c>
      <x:c r="U72" s="10" t="str">
        <x:v>Validación cultural, reglas, capacidad y operación documentadas</x:v>
      </x:c>
      <x:c r="V72" s="10" t="str">
        <x:v>Validación cultural, reglas, capacidad y operación documentadas</x:v>
      </x:c>
      <x:c r="W72" s="10" t="str"/>
      <x:c r="X72" s="10" t="str">
        <x:v>No</x:v>
      </x:c>
      <x:c r="Y72" s="10" t="str">
        <x:f>IF(F72&lt;&gt;"Completada","Sin cierre",IF(OR(H72="",I72=""),"Sin dato",IF(I72&lt;=H72,"A tiempo","Tarde")))</x:f>
        <x:v>A tiempo</x:v>
      </x:c>
      <x:c r="Z72" s="24" t="n">
        <x:f>IF(OR(G72="",H72=""),"",H72-G72)</x:f>
        <x:v>0.49974537037633127</x:v>
      </x:c>
    </x:row>
    <x:row r="73" ht="42" customHeight="1">
      <x:c r="A73" s="10" t="n">
        <x:v>72</x:v>
      </x:c>
      <x:c r="B73" s="10" t="n">
        <x:v>13424</x:v>
      </x:c>
      <x:c r="C73" s="10" t="str">
        <x:v>PROGRAMACIÓN DE FERIA (PDF)</x:v>
      </x:c>
      <x:c r="D73" s="10" t="str">
        <x:v>Edwin Naula</x:v>
      </x:c>
      <x:c r="E73" s="10" t="str">
        <x:v>Edwin Naula</x:v>
      </x:c>
      <x:c r="F73" s="10" t="str">
        <x:v>Completada</x:v>
      </x:c>
      <x:c r="G73" s="23" t="n">
        <x:v>45947.45858796296</x:v>
      </x:c>
      <x:c r="H73" s="23" t="n">
        <x:v>45947.958333333336</x:v>
      </x:c>
      <x:c r="I73" s="23" t="n">
        <x:v>45947.91811342593</x:v>
      </x:c>
      <x:c r="J73" s="10" t="str"/>
      <x:c r="K73" s="10" t="str">
        <x:v>Diseño</x:v>
      </x:c>
      <x:c r="L73" s="10"/>
      <x:c r="M73" s="10" t="str">
        <x:v>F26-07-SHOW</x:v>
      </x:c>
      <x:c r="N73" s="10" t="str">
        <x:v>Programación y marketing</x:v>
      </x:c>
      <x:c r="O73" s="10" t="str">
        <x:v>Shows, artistas y programación bajo embargo</x:v>
      </x:c>
      <x:c r="P73" s="10" t="str">
        <x:v>Convertir con control</x:v>
      </x:c>
      <x:c r="Q73" s="10" t="str">
        <x:v>Alto</x:v>
      </x:c>
      <x:c r="R73" s="10" t="str">
        <x:v>Programación + coordinación comunicación</x:v>
      </x:c>
      <x:c r="S73" s="10" t="str">
        <x:v>Dirección + programación + derechos</x:v>
      </x:c>
      <x:c r="T73" s="10" t="str">
        <x:v>Revelación y conversión</x:v>
      </x:c>
      <x:c r="U73" s="10" t="str">
        <x:v>Contrato, grafía, día, horario, derechos, embargo y oferta confirmados</x:v>
      </x:c>
      <x:c r="V73" s="10" t="str">
        <x:v>Contrato, grafía, día, horario, derechos, embargo y oferta confirmados</x:v>
      </x:c>
      <x:c r="W73" s="10" t="str">
        <x:v>Carrusel 📥𝗗𝗘𝗦𝗖𝗔𝗥𝗚𝗔 𝗟𝗔 𝗣𝗥𝗢𝗚𝗥𝗔𝗠𝗔𝗖𝗜𝗢́𝗡 𝗚𝗘𝗡𝗘𝗥𝗔𝗟 𝗗𝗘 y conoce de todos nuestros atractivos y shows. Para que disfrutes en familia y con amigos de la</x:v>
      </x:c>
      <x:c r="X73" s="10" t="str">
        <x:v>No</x:v>
      </x:c>
      <x:c r="Y73" s="10" t="str">
        <x:f>IF(F73&lt;&gt;"Completada","Sin cierre",IF(OR(H73="",I73=""),"Sin dato",IF(I73&lt;=H73,"A tiempo","Tarde")))</x:f>
        <x:v>A tiempo</x:v>
      </x:c>
      <x:c r="Z73" s="24" t="n">
        <x:f>IF(OR(G73="",H73=""),"",H73-G73)</x:f>
        <x:v>0.49974537037633127</x:v>
      </x:c>
    </x:row>
    <x:row r="74" ht="42" customHeight="1">
      <x:c r="A74" s="10" t="n">
        <x:v>73</x:v>
      </x:c>
      <x:c r="B74" s="10" t="n">
        <x:v>13426</x:v>
      </x:c>
      <x:c r="C74" s="10" t="str">
        <x:v>invitación ADRIANA LUCÍA</x:v>
      </x:c>
      <x:c r="D74" s="10" t="str">
        <x:v>Edwin Naula</x:v>
      </x:c>
      <x:c r="E74" s="10" t="str">
        <x:v>Edwin Naula</x:v>
      </x:c>
      <x:c r="F74" s="10" t="str">
        <x:v>Completada</x:v>
      </x:c>
      <x:c r="G74" s="23" t="n">
        <x:v>45947.45858796296</x:v>
      </x:c>
      <x:c r="H74" s="23" t="n">
        <x:v>45947.958333333336</x:v>
      </x:c>
      <x:c r="I74" s="23" t="n">
        <x:v>45947.83078703703</x:v>
      </x:c>
      <x:c r="J74" s="10" t="str"/>
      <x:c r="K74" s="10" t="str">
        <x:v>Diseño</x:v>
      </x:c>
      <x:c r="L74" s="10"/>
      <x:c r="M74" s="10" t="str">
        <x:v>F26-06-CONT</x:v>
      </x:c>
      <x:c r="N74" s="10" t="str">
        <x:v>Marketing y comunicación</x:v>
      </x:c>
      <x:c r="O74" s="10" t="str">
        <x:v>Sistema editorial, redes y piezas recurrentes</x:v>
      </x:c>
      <x:c r="P74" s="10" t="str">
        <x:v>Consolidar en paquete 2026</x:v>
      </x:c>
      <x:c r="Q74" s="10" t="str">
        <x:v>Medio</x:v>
      </x:c>
      <x:c r="R74" s="10" t="str">
        <x:v>Coordinación comunicación — Andrés (apellido por confirmar)</x:v>
      </x:c>
      <x:c r="S74" s="10" t="str">
        <x:v>Dirección de marketing — Andrés Naranjo</x:v>
      </x:c>
      <x:c r="T74" s="10" t="str">
        <x:v>Expectativa y conversión</x:v>
      </x:c>
      <x:c r="U74" s="10" t="str">
        <x:v>Brief, fuente vigente, CTA verificable y QA antes de publicar</x:v>
      </x:c>
      <x:c r="V74" s="10" t="str">
        <x:v>Evitar microtareas ad hoc; trabajar desde un brief, plantilla, dueño y fecha de aprobación.</x:v>
      </x:c>
      <x:c r="W74" s="10" t="str">
        <x:v>REEL (9:16)</x:v>
      </x:c>
      <x:c r="X74" s="10" t="str">
        <x:v>No</x:v>
      </x:c>
      <x:c r="Y74" s="10" t="str">
        <x:f>IF(F74&lt;&gt;"Completada","Sin cierre",IF(OR(H74="",I74=""),"Sin dato",IF(I74&lt;=H74,"A tiempo","Tarde")))</x:f>
        <x:v>A tiempo</x:v>
      </x:c>
      <x:c r="Z74" s="24" t="n">
        <x:f>IF(OR(G74="",H74=""),"",H74-G74)</x:f>
        <x:v>0.49974537037633127</x:v>
      </x:c>
    </x:row>
    <x:row r="75" ht="42" customHeight="1">
      <x:c r="A75" s="10" t="n">
        <x:v>74</x:v>
      </x:c>
      <x:c r="B75" s="10" t="n">
        <x:v>13428</x:v>
      </x:c>
      <x:c r="C75" s="10" t="str">
        <x:v>DINÁMICA EN LA CALLE:</x:v>
      </x:c>
      <x:c r="D75" s="10" t="str">
        <x:v>Edwin Naula</x:v>
      </x:c>
      <x:c r="E75" s="10" t="str">
        <x:v>Edwin Naula</x:v>
      </x:c>
      <x:c r="F75" s="10" t="str">
        <x:v>Completada</x:v>
      </x:c>
      <x:c r="G75" s="23" t="n">
        <x:v>45947.45858796296</x:v>
      </x:c>
      <x:c r="H75" s="23" t="n">
        <x:v>45947.979166666664</x:v>
      </x:c>
      <x:c r="I75" s="23" t="n">
        <x:v>45947.951898148145</x:v>
      </x:c>
      <x:c r="J75" s="10" t="str">
        <x:v>Pam Villa</x:v>
      </x:c>
      <x:c r="K75" s="10" t="str">
        <x:v>Diseño</x:v>
      </x:c>
      <x:c r="L75" s="10"/>
      <x:c r="M75" s="10" t="str">
        <x:v>F26-11-ACT</x:v>
      </x:c>
      <x:c r="N75" s="10" t="str">
        <x:v>Activaciones territoriales</x:v>
      </x:c>
      <x:c r="O75" s="10" t="str">
        <x:v>Calle, estadio, perifoneo y alianzas de distribución</x:v>
      </x:c>
      <x:c r="P75" s="10" t="str">
        <x:v>Convertir con control</x:v>
      </x:c>
      <x:c r="Q75" s="10" t="str">
        <x:v>Medio</x:v>
      </x:c>
      <x:c r="R75" s="10" t="str">
        <x:v>Producción — Iván (apellido por confirmar) + comunicación</x:v>
      </x:c>
      <x:c r="S75" s="10" t="str">
        <x:v>Coordinación general + operación/seguridad</x:v>
      </x:c>
      <x:c r="T75" s="10" t="str">
        <x:v>Conversión</x:v>
      </x:c>
      <x:c r="U75" s="10" t="str">
        <x:v>Permisos, ruta, seguridad, materiales y medición definidos</x:v>
      </x:c>
      <x:c r="V75" s="10" t="str">
        <x:v>Permisos, ruta, seguridad, materiales y medición definidos</x:v>
      </x:c>
      <x:c r="W75" s="10" t="str">
        <x:v>REEL (9:16)</x:v>
      </x:c>
      <x:c r="X75" s="10" t="str">
        <x:v>No</x:v>
      </x:c>
      <x:c r="Y75" s="10" t="str">
        <x:f>IF(F75&lt;&gt;"Completada","Sin cierre",IF(OR(H75="",I75=""),"Sin dato",IF(I75&lt;=H75,"A tiempo","Tarde")))</x:f>
        <x:v>A tiempo</x:v>
      </x:c>
      <x:c r="Z75" s="24" t="n">
        <x:f>IF(OR(G75="",H75=""),"",H75-G75)</x:f>
        <x:v>0.520578703704814</x:v>
      </x:c>
    </x:row>
    <x:row r="76" ht="42" customHeight="1">
      <x:c r="A76" s="10" t="n">
        <x:v>75</x:v>
      </x:c>
      <x:c r="B76" s="10" t="n">
        <x:v>13430</x:v>
      </x:c>
      <x:c r="C76" s="10" t="str">
        <x:v>COLOMBIANA TREND</x:v>
      </x:c>
      <x:c r="D76" s="10" t="str">
        <x:v>Edwin Naula</x:v>
      </x:c>
      <x:c r="E76" s="10" t="str">
        <x:v>Edwin Naula</x:v>
      </x:c>
      <x:c r="F76" s="10" t="str">
        <x:v>Completada</x:v>
      </x:c>
      <x:c r="G76" s="23" t="n">
        <x:v>45947.458599537036</x:v>
      </x:c>
      <x:c r="H76" s="23" t="n">
        <x:v>45947.979166666664</x:v>
      </x:c>
      <x:c r="I76" s="23" t="n">
        <x:v>45947.952002314814</x:v>
      </x:c>
      <x:c r="J76" s="10" t="str">
        <x:v>Pam Villa</x:v>
      </x:c>
      <x:c r="K76" s="10" t="str">
        <x:v>Diseño</x:v>
      </x:c>
      <x:c r="L76" s="10"/>
      <x:c r="M76" s="10" t="str">
        <x:v>F26-06-CONT</x:v>
      </x:c>
      <x:c r="N76" s="10" t="str">
        <x:v>Marketing y comunicación</x:v>
      </x:c>
      <x:c r="O76" s="10" t="str">
        <x:v>Sistema editorial, redes y piezas recurrentes</x:v>
      </x:c>
      <x:c r="P76" s="10" t="str">
        <x:v>Consolidar en paquete 2026</x:v>
      </x:c>
      <x:c r="Q76" s="10" t="str">
        <x:v>Medio</x:v>
      </x:c>
      <x:c r="R76" s="10" t="str">
        <x:v>Coordinación comunicación — Andrés (apellido por confirmar)</x:v>
      </x:c>
      <x:c r="S76" s="10" t="str">
        <x:v>Dirección de marketing — Andrés Naranjo</x:v>
      </x:c>
      <x:c r="T76" s="10" t="str">
        <x:v>Expectativa y conversión</x:v>
      </x:c>
      <x:c r="U76" s="10" t="str">
        <x:v>Brief, fuente vigente, CTA verificable y QA antes de publicar</x:v>
      </x:c>
      <x:c r="V76" s="10" t="str">
        <x:v>Evitar microtareas ad hoc; trabajar desde un brief, plantilla, dueño y fecha de aprobación.</x:v>
      </x:c>
      <x:c r="W76" s="10" t="str">
        <x:v>REEL (9:16)</x:v>
      </x:c>
      <x:c r="X76" s="10" t="str">
        <x:v>No</x:v>
      </x:c>
      <x:c r="Y76" s="10" t="str">
        <x:f>IF(F76&lt;&gt;"Completada","Sin cierre",IF(OR(H76="",I76=""),"Sin dato",IF(I76&lt;=H76,"A tiempo","Tarde")))</x:f>
        <x:v>A tiempo</x:v>
      </x:c>
      <x:c r="Z76" s="24" t="n">
        <x:f>IF(OR(G76="",H76=""),"",H76-G76)</x:f>
        <x:v>0.5205671296280343</x:v>
      </x:c>
    </x:row>
    <x:row r="77" ht="42" customHeight="1">
      <x:c r="A77" s="10" t="n">
        <x:v>76</x:v>
      </x:c>
      <x:c r="B77" s="10" t="n">
        <x:v>13432</x:v>
      </x:c>
      <x:c r="C77" s="10" t="str">
        <x:v>POST TIERRA CANELA EN POST</x:v>
      </x:c>
      <x:c r="D77" s="10" t="str">
        <x:v>Edwin Naula</x:v>
      </x:c>
      <x:c r="E77" s="10" t="str">
        <x:v>Edwin Naula</x:v>
      </x:c>
      <x:c r="F77" s="10" t="str">
        <x:v>Completada</x:v>
      </x:c>
      <x:c r="G77" s="23" t="n">
        <x:v>45947.458599537036</x:v>
      </x:c>
      <x:c r="H77" s="23" t="n">
        <x:v>45947.979166666664</x:v>
      </x:c>
      <x:c r="I77" s="23" t="n">
        <x:v>45947.831192129626</x:v>
      </x:c>
      <x:c r="J77" s="10" t="str">
        <x:v>Pam Villa, Stalin Flores</x:v>
      </x:c>
      <x:c r="K77" s="10" t="str">
        <x:v>Diseño</x:v>
      </x:c>
      <x:c r="L77" s="10"/>
      <x:c r="M77" s="10" t="str">
        <x:v>F26-06-CONT</x:v>
      </x:c>
      <x:c r="N77" s="10" t="str">
        <x:v>Marketing y comunicación</x:v>
      </x:c>
      <x:c r="O77" s="10" t="str">
        <x:v>Sistema editorial, redes y piezas recurrentes</x:v>
      </x:c>
      <x:c r="P77" s="10" t="str">
        <x:v>Consolidar en paquete 2026</x:v>
      </x:c>
      <x:c r="Q77" s="10" t="str">
        <x:v>Medio</x:v>
      </x:c>
      <x:c r="R77" s="10" t="str">
        <x:v>Coordinación comunicación — Andrés (apellido por confirmar)</x:v>
      </x:c>
      <x:c r="S77" s="10" t="str">
        <x:v>Dirección de marketing — Andrés Naranjo</x:v>
      </x:c>
      <x:c r="T77" s="10" t="str">
        <x:v>Expectativa y conversión</x:v>
      </x:c>
      <x:c r="U77" s="10" t="str">
        <x:v>Brief, fuente vigente, CTA verificable y QA antes de publicar</x:v>
      </x:c>
      <x:c r="V77" s="10" t="str">
        <x:v>Evitar microtareas ad hoc; trabajar desde un brief, plantilla, dueño y fecha de aprobación.</x:v>
      </x:c>
      <x:c r="W77" s="10" t="str">
        <x:v>POST 4:5 Tierra canela en el complejo mushuc runa 11.00 am bajo el mismo concepto del primer post (Euler Caicedo)</x:v>
      </x:c>
      <x:c r="X77" s="10" t="str">
        <x:v>No</x:v>
      </x:c>
      <x:c r="Y77" s="10" t="str">
        <x:f>IF(F77&lt;&gt;"Completada","Sin cierre",IF(OR(H77="",I77=""),"Sin dato",IF(I77&lt;=H77,"A tiempo","Tarde")))</x:f>
        <x:v>A tiempo</x:v>
      </x:c>
      <x:c r="Z77" s="24" t="n">
        <x:f>IF(OR(G77="",H77=""),"",H77-G77)</x:f>
        <x:v>0.5205671296280343</x:v>
      </x:c>
    </x:row>
    <x:row r="78" ht="42" customHeight="1">
      <x:c r="A78" s="10" t="n">
        <x:v>77</x:v>
      </x:c>
      <x:c r="B78" s="10" t="n">
        <x:v>13434</x:v>
      </x:c>
      <x:c r="C78" s="10" t="str">
        <x:v>STANDS (COMERCIO , EMPRENDIMEINTOS, EMPRESARIAL)</x:v>
      </x:c>
      <x:c r="D78" s="10" t="str">
        <x:v>Edwin Naula</x:v>
      </x:c>
      <x:c r="E78" s="10" t="str">
        <x:v>Edwin Naula</x:v>
      </x:c>
      <x:c r="F78" s="10" t="str">
        <x:v>Completada</x:v>
      </x:c>
      <x:c r="G78" s="23" t="n">
        <x:v>45947.458599537036</x:v>
      </x:c>
      <x:c r="H78" s="23" t="n">
        <x:v>45948.041666666664</x:v>
      </x:c>
      <x:c r="I78" s="23" t="n">
        <x:v>45947.95211805555</x:v>
      </x:c>
      <x:c r="J78" s="10" t="str"/>
      <x:c r="K78" s="10" t="str">
        <x:v>Diseño</x:v>
      </x:c>
      <x:c r="L78" s="10"/>
      <x:c r="M78" s="10" t="str">
        <x:v>F26-04-EXP</x:v>
      </x:c>
      <x:c r="N78" s="10" t="str">
        <x:v>Expositores y comercialización</x:v>
      </x:c>
      <x:c r="O78" s="10" t="str">
        <x:v>Stands, expositores y narrativa comercial</x:v>
      </x:c>
      <x:c r="P78" s="10" t="str">
        <x:v>Consolidar en paquete 2026</x:v>
      </x:c>
      <x:c r="Q78" s="10" t="str">
        <x:v>Medio</x:v>
      </x:c>
      <x:c r="R78" s="10" t="str">
        <x:v>Dueño de expositores — por asignar</x:v>
      </x:c>
      <x:c r="S78" s="10" t="str">
        <x:v>Dirección/comercial + operación</x:v>
      </x:c>
      <x:c r="T78" s="10" t="str">
        <x:v>Revelación y preventa</x:v>
      </x:c>
      <x:c r="U78" s="10" t="str">
        <x:v>Inventario, precios, políticas y capacidad aprobados</x:v>
      </x:c>
      <x:c r="V78" s="10" t="str">
        <x:v>Evitar microtareas ad hoc; trabajar desde un brief, plantilla, dueño y fecha de aprobación.</x:v>
      </x:c>
      <x:c r="W78" s="10" t="str">
        <x:v>POST 4:5</x:v>
      </x:c>
      <x:c r="X78" s="10" t="str">
        <x:v>No</x:v>
      </x:c>
      <x:c r="Y78" s="10" t="str">
        <x:f>IF(F78&lt;&gt;"Completada","Sin cierre",IF(OR(H78="",I78=""),"Sin dato",IF(I78&lt;=H78,"A tiempo","Tarde")))</x:f>
        <x:v>A tiempo</x:v>
      </x:c>
      <x:c r="Z78" s="24" t="n">
        <x:f>IF(OR(G78="",H78=""),"",H78-G78)</x:f>
        <x:v>0.5830671296280343</x:v>
      </x:c>
    </x:row>
    <x:row r="79" ht="42" customHeight="1">
      <x:c r="A79" s="10" t="n">
        <x:v>78</x:v>
      </x:c>
      <x:c r="B79" s="10" t="n">
        <x:v>13442</x:v>
      </x:c>
      <x:c r="C79" s="10" t="str">
        <x:v>Dirección Ricki Torres</x:v>
      </x:c>
      <x:c r="D79" s="10" t="str">
        <x:v>Pam Villa</x:v>
      </x:c>
      <x:c r="E79" s="10" t="str">
        <x:v>Edwin Masa Sisa (identidad por confirmar)</x:v>
      </x:c>
      <x:c r="F79" s="10" t="str">
        <x:v>Completada</x:v>
      </x:c>
      <x:c r="G79" s="23" t="n">
        <x:v>45947.599340277775</x:v>
      </x:c>
      <x:c r="H79" s="23" t="n">
        <x:v>45948.958333333336</x:v>
      </x:c>
      <x:c r="I79" s="23" t="n">
        <x:v>45950.57641203704</x:v>
      </x:c>
      <x:c r="J79" s="10" t="str"/>
      <x:c r="K79" s="10" t="str"/>
      <x:c r="L79" s="10"/>
      <x:c r="M79" s="10" t="str">
        <x:v>F26-09-CREA</x:v>
      </x:c>
      <x:c r="N79" s="10" t="str">
        <x:v>Creadores y comunidad</x:v>
      </x:c>
      <x:c r="O79" s="10" t="str">
        <x:v>Influencers, embajadores y referidos</x:v>
      </x:c>
      <x:c r="P79" s="10" t="str">
        <x:v>Convertir con control</x:v>
      </x:c>
      <x:c r="Q79" s="10" t="str">
        <x:v>Medio</x:v>
      </x:c>
      <x:c r="R79" s="10" t="str">
        <x:v>Coordinación comunicación + relaciones públicas</x:v>
      </x:c>
      <x:c r="S79" s="10" t="str">
        <x:v>Dirección de marketing + legal/finanzas cuando aplique</x:v>
      </x:c>
      <x:c r="T79" s="10" t="str">
        <x:v>Expectativa y conversión</x:v>
      </x:c>
      <x:c r="U79" s="10" t="str">
        <x:v>Brief, derechos, selección, compensación fija y evidencia verificable</x:v>
      </x:c>
      <x:c r="V79" s="10" t="str">
        <x:v>Brief, derechos, selección, compensación fija y evidencia verificable</x:v>
      </x:c>
      <x:c r="W79" s="10" t="str">
        <x:v>Definir actividades y contenidos con el influencer Productos - 2 shots - 4lives Objetivos : Promoción de aritistas NOCHE AMAR AZUL NOCHE SUREÑA</x:v>
      </x:c>
      <x:c r="X79" s="10" t="str">
        <x:v>No</x:v>
      </x:c>
      <x:c r="Y79" s="10" t="str">
        <x:f>IF(F79&lt;&gt;"Completada","Sin cierre",IF(OR(H79="",I79=""),"Sin dato",IF(I79&lt;=H79,"A tiempo","Tarde")))</x:f>
        <x:v>Tarde</x:v>
      </x:c>
      <x:c r="Z79" s="24" t="n">
        <x:f>IF(OR(G79="",H79=""),"",H79-G79)</x:f>
        <x:v>1.358993055560859</x:v>
      </x:c>
    </x:row>
    <x:row r="80" ht="42" customHeight="1">
      <x:c r="A80" s="10" t="n">
        <x:v>79</x:v>
      </x:c>
      <x:c r="B80" s="10" t="n">
        <x:v>13444</x:v>
      </x:c>
      <x:c r="C80" s="10" t="str">
        <x:v>Coordinación gira de medios Riobamba.</x:v>
      </x:c>
      <x:c r="D80" s="10" t="str">
        <x:v>Isabela Orozco</x:v>
      </x:c>
      <x:c r="E80" s="10" t="str">
        <x:v>Isabela Orozco</x:v>
      </x:c>
      <x:c r="F80" s="10" t="str">
        <x:v>Completada</x:v>
      </x:c>
      <x:c r="G80" s="23" t="n">
        <x:v>45947.598969907405</x:v>
      </x:c>
      <x:c r="H80" s="23" t="n">
        <x:v>45950.958333333336</x:v>
      </x:c>
      <x:c r="I80" s="23" t="n">
        <x:v>45950.96050925926</x:v>
      </x:c>
      <x:c r="J80" s="10" t="str">
        <x:v>Pam Villa, Valery Paredes, Diego Flores (grafía por confirmar), Edwin Masa Sisa (identidad por confirmar)</x:v>
      </x:c>
      <x:c r="K80" s="10" t="str"/>
      <x:c r="L80" s="10"/>
      <x:c r="M80" s="10" t="str">
        <x:v>F26-10-PR</x:v>
      </x:c>
      <x:c r="N80" s="10" t="str">
        <x:v>Relaciones públicas</x:v>
      </x:c>
      <x:c r="O80" s="10" t="str">
        <x:v>Prensa, radios, giras y vocerías</x:v>
      </x:c>
      <x:c r="P80" s="10" t="str">
        <x:v>Convertir con control</x:v>
      </x:c>
      <x:c r="Q80" s="10" t="str">
        <x:v>Medio</x:v>
      </x:c>
      <x:c r="R80" s="10" t="str">
        <x:v>Relaciones públicas — Are Morales</x:v>
      </x:c>
      <x:c r="S80" s="10" t="str">
        <x:v>Dirección + vocero autorizado</x:v>
      </x:c>
      <x:c r="T80" s="10" t="str">
        <x:v>Revelación y conversión</x:v>
      </x:c>
      <x:c r="U80" s="10" t="str">
        <x:v>Mensajes, agenda, vocero, ficha factual y monitoreo aprobados</x:v>
      </x:c>
      <x:c r="V80" s="10" t="str">
        <x:v>Mensajes, agenda, vocero, ficha factual y monitoreo aprobados</x:v>
      </x:c>
      <x:c r="W80" s="10" t="str">
        <x:v>La promoción de la Feria de Finados Mushuc Runa se realizará con el abogado Luis Alfonso Chango como vocero principal, para ello se cumplirá agenda con medios de la ciudad de Riobamba.</x:v>
      </x:c>
      <x:c r="X80" s="10" t="str">
        <x:v>No</x:v>
      </x:c>
      <x:c r="Y80" s="10" t="str">
        <x:f>IF(F80&lt;&gt;"Completada","Sin cierre",IF(OR(H80="",I80=""),"Sin dato",IF(I80&lt;=H80,"A tiempo","Tarde")))</x:f>
        <x:v>Tarde</x:v>
      </x:c>
      <x:c r="Z80" s="24" t="n">
        <x:f>IF(OR(G80="",H80=""),"",H80-G80)</x:f>
        <x:v>3.3593634259304963</x:v>
      </x:c>
    </x:row>
    <x:row r="81" ht="42" customHeight="1">
      <x:c r="A81" s="10" t="n">
        <x:v>80</x:v>
      </x:c>
      <x:c r="B81" s="10" t="n">
        <x:v>13446</x:v>
      </x:c>
      <x:c r="C81" s="10" t="str">
        <x:v>ACTIVACION ESTADIO</x:v>
      </x:c>
      <x:c r="D81" s="10" t="str">
        <x:v>Edwin Masa Sisa (identidad por confirmar)</x:v>
      </x:c>
      <x:c r="E81" s="10" t="str">
        <x:v>Edwin Masa Sisa (identidad por confirmar)</x:v>
      </x:c>
      <x:c r="F81" s="10" t="str">
        <x:v>Completada</x:v>
      </x:c>
      <x:c r="G81" s="23" t="n">
        <x:v>45947.61655092592</x:v>
      </x:c>
      <x:c r="H81" s="23" t="n">
        <x:v>45948.833333333336</x:v>
      </x:c>
      <x:c r="I81" s="23" t="n">
        <x:v>45950.57798611111</x:v>
      </x:c>
      <x:c r="J81" s="10" t="str"/>
      <x:c r="K81" s="10" t="str"/>
      <x:c r="L81" s="10"/>
      <x:c r="M81" s="10" t="str">
        <x:v>F26-11-ACT</x:v>
      </x:c>
      <x:c r="N81" s="10" t="str">
        <x:v>Activaciones territoriales</x:v>
      </x:c>
      <x:c r="O81" s="10" t="str">
        <x:v>Calle, estadio, perifoneo y alianzas de distribución</x:v>
      </x:c>
      <x:c r="P81" s="10" t="str">
        <x:v>Convertir con control</x:v>
      </x:c>
      <x:c r="Q81" s="10" t="str">
        <x:v>Medio</x:v>
      </x:c>
      <x:c r="R81" s="10" t="str">
        <x:v>Producción — Iván (apellido por confirmar) + comunicación</x:v>
      </x:c>
      <x:c r="S81" s="10" t="str">
        <x:v>Coordinación general + operación/seguridad</x:v>
      </x:c>
      <x:c r="T81" s="10" t="str">
        <x:v>Conversión</x:v>
      </x:c>
      <x:c r="U81" s="10" t="str">
        <x:v>Permisos, ruta, seguridad, materiales y medición definidos</x:v>
      </x:c>
      <x:c r="V81" s="10" t="str">
        <x:v>Permisos, ruta, seguridad, materiales y medición definidos</x:v>
      </x:c>
      <x:c r="W81" s="10" t="str">
        <x:v>ACTIVACION DE MARCA EN EL ESTADIO HECHA LECHE Valery Paredes edwin masa sisa Andrés Flores Leonardo Rafael Sailema Amancha</x:v>
      </x:c>
      <x:c r="X81" s="10" t="str">
        <x:v>No</x:v>
      </x:c>
      <x:c r="Y81" s="10" t="str">
        <x:f>IF(F81&lt;&gt;"Completada","Sin cierre",IF(OR(H81="",I81=""),"Sin dato",IF(I81&lt;=H81,"A tiempo","Tarde")))</x:f>
        <x:v>Tarde</x:v>
      </x:c>
      <x:c r="Z81" s="24" t="n">
        <x:f>IF(OR(G81="",H81=""),"",H81-G81)</x:f>
        <x:v>1.2167824074131204</x:v>
      </x:c>
    </x:row>
    <x:row r="82" ht="42" customHeight="1">
      <x:c r="A82" s="10" t="n">
        <x:v>81</x:v>
      </x:c>
      <x:c r="B82" s="10" t="n">
        <x:v>13452</x:v>
      </x:c>
      <x:c r="C82" s="10" t="str">
        <x:v>ENTREGA DE MATERIAL DE AUSPICIANTES</x:v>
      </x:c>
      <x:c r="D82" s="10" t="str">
        <x:v>Edwin Naula</x:v>
      </x:c>
      <x:c r="E82" s="10" t="str">
        <x:v>Edwin Naula</x:v>
      </x:c>
      <x:c r="F82" s="10" t="str">
        <x:v>Completada</x:v>
      </x:c>
      <x:c r="G82" s="23" t="n">
        <x:v>45947.65105324074</x:v>
      </x:c>
      <x:c r="H82" s="23" t="n">
        <x:v>45954.986805555556</x:v>
      </x:c>
      <x:c r="I82" s="23" t="n">
        <x:v>45954.955983796295</x:v>
      </x:c>
      <x:c r="J82" s="10" t="str">
        <x:v>Sonia Estrella</x:v>
      </x:c>
      <x:c r="K82" s="10" t="str"/>
      <x:c r="L82" s="10"/>
      <x:c r="M82" s="10" t="str">
        <x:v>F26-03-PAT</x:v>
      </x:c>
      <x:c r="N82" s="10" t="str">
        <x:v>Patrocinios y aliados</x:v>
      </x:c>
      <x:c r="O82" s="10" t="str">
        <x:v>Auspiciantes: altas, activos, beneficios y evidencia</x:v>
      </x:c>
      <x:c r="P82" s="10" t="str">
        <x:v>Convertir con control</x:v>
      </x:c>
      <x:c r="Q82" s="10" t="str">
        <x:v>Medio</x:v>
      </x:c>
      <x:c r="R82" s="10" t="str">
        <x:v>Dueño de patrocinadores — por asignar</x:v>
      </x:c>
      <x:c r="S82" s="10" t="str">
        <x:v>Dirección + finanzas/comercial</x:v>
      </x:c>
      <x:c r="T82" s="10" t="str">
        <x:v>Revelación y preventa</x:v>
      </x:c>
      <x:c r="U82" s="10" t="str">
        <x:v>Contrato, inventario de beneficios y master de logos conciliados</x:v>
      </x:c>
      <x:c r="V82" s="10" t="str">
        <x:v>Contrato, inventario de beneficios y master de logos conciliados</x:v>
      </x:c>
      <x:c r="W82" s="10" t="str">
        <x:v>Se receptará la información de las empresas (video, loops, zocalos) para proyección en feria y streaming hasta el día viernes 24 de octubre</x:v>
      </x:c>
      <x:c r="X82" s="10" t="str">
        <x:v>No</x:v>
      </x:c>
      <x:c r="Y82" s="10" t="str">
        <x:f>IF(F82&lt;&gt;"Completada","Sin cierre",IF(OR(H82="",I82=""),"Sin dato",IF(I82&lt;=H82,"A tiempo","Tarde")))</x:f>
        <x:v>A tiempo</x:v>
      </x:c>
      <x:c r="Z82" s="24" t="n">
        <x:f>IF(OR(G82="",H82=""),"",H82-G82)</x:f>
        <x:v>7.335752314815181</x:v>
      </x:c>
    </x:row>
    <x:row r="83" ht="42" customHeight="1">
      <x:c r="A83" s="10" t="n">
        <x:v>82</x:v>
      </x:c>
      <x:c r="B83" s="10" t="n">
        <x:v>13454</x:v>
      </x:c>
      <x:c r="C83" s="10" t="str">
        <x:v>CONTENIDOS PROMO CONCURSO GUAGUAS DE PAN</x:v>
      </x:c>
      <x:c r="D83" s="10" t="str">
        <x:v>Pam Villa</x:v>
      </x:c>
      <x:c r="E83" s="10" t="str">
        <x:v>Pam Villa</x:v>
      </x:c>
      <x:c r="F83" s="10" t="str">
        <x:v>Completada</x:v>
      </x:c>
      <x:c r="G83" s="23" t="n">
        <x:v>45947.70071759259</x:v>
      </x:c>
      <x:c r="H83" s="23" t="n">
        <x:v>45954.958333333336</x:v>
      </x:c>
      <x:c r="I83" s="23" t="n">
        <x:v>45954.64099537037</x:v>
      </x:c>
      <x:c r="J83" s="10" t="str">
        <x:v>Stalin Flores, Edwin Naula</x:v>
      </x:c>
      <x:c r="K83" s="10" t="str"/>
      <x:c r="L83" s="10"/>
      <x:c r="M83" s="10" t="str">
        <x:v>F26-08-TRAD</x:v>
      </x:c>
      <x:c r="N83" s="10" t="str">
        <x:v>Experiencia y cultura</x:v>
      </x:c>
      <x:c r="O83" s="10" t="str">
        <x:v>Tradición, concursos, rituales y cinco jornadas</x:v>
      </x:c>
      <x:c r="P83" s="10" t="str">
        <x:v>Convertir con control</x:v>
      </x:c>
      <x:c r="Q83" s="10" t="str">
        <x:v>Medio</x:v>
      </x:c>
      <x:c r="R83" s="10" t="str">
        <x:v>Experiencia + aprobación cultural — por asignar</x:v>
      </x:c>
      <x:c r="S83" s="10" t="str">
        <x:v>Dirección + comunidad/cultura + operación</x:v>
      </x:c>
      <x:c r="T83" s="10" t="str">
        <x:v>Expectativa y experiencia</x:v>
      </x:c>
      <x:c r="U83" s="10" t="str">
        <x:v>Validación cultural, reglas, capacidad y operación documentadas</x:v>
      </x:c>
      <x:c r="V83" s="10" t="str">
        <x:v>Validación cultural, reglas, capacidad y operación documentadas</x:v>
      </x:c>
      <x:c r="W83" s="10" t="str">
        <x:v>SE REQUIERE DE: - 1 POST INFORMATIVO DEL CONCURSO CON BASES Y TODOS LOS DETALLES PUEDE SER MODO CARRUSEL INFORMACIÓN POST INICIAL (facebook) Demuestra tu creatividad en el Concurso Nacional de Guaguas de Pan 'Rescatando Tradiciones' Martes 4 de noviembre – 10h30 Complejo Intercultural Mushuc Runa Abierto a todo el paísInscríbete aquí: [TELÉFONO OMITIDO] (corroborar número) ----- CARRUSEL (4 slides) - INstagram Slide 1 – Portada: CONCURSO DE GUAGUAS DE PAN La Tradición Cobra Vida Martes 4 de noviembre – 10h30 Complejo Intercultural Mushuc Runa ¡Te esperamos con tu mejor creación! Slide 2 – Detalles ¡Decora libremente con materiales comestibles! Tamaño de tu pieza Base: 50 a 80 cm Altura: 50 a 80 cm ¡Hazla única y sorprende al jurado! Slide 3 – Se calificará: Originalidad Dificultad Presentación Fidelidad al tema ¡rescatando tradiciones! Slide 4 – Premios y certificados para todos [CORREO OMITIDO] [TELÉFONO OMITIDO] ¡Inscríbete y deja que tu guagua hable por ti! - 1 REEL DEL CONCURSO GUAGUAS DE PAN - POST URGENTE PARA LLAMAR A LAS INSCRIPCIONES. CTA: ¿YA TE INSCRIBISTE AL CONCURSO? FALTAN POCOS DÍAS</x:v>
      </x:c>
      <x:c r="X83" s="10" t="str">
        <x:v>Sí</x:v>
      </x:c>
      <x:c r="Y83" s="10" t="str">
        <x:f>IF(F83&lt;&gt;"Completada","Sin cierre",IF(OR(H83="",I83=""),"Sin dato",IF(I83&lt;=H83,"A tiempo","Tarde")))</x:f>
        <x:v>A tiempo</x:v>
      </x:c>
      <x:c r="Z83" s="24" t="n">
        <x:f>IF(OR(G83="",H83=""),"",H83-G83)</x:f>
        <x:v>7.257615740745678</x:v>
      </x:c>
    </x:row>
    <x:row r="84" ht="42" customHeight="1">
      <x:c r="A84" s="10" t="n">
        <x:v>83</x:v>
      </x:c>
      <x:c r="B84" s="10" t="n">
        <x:v>13456</x:v>
      </x:c>
      <x:c r="C84" s="10" t="str">
        <x:v>Streaming inga palla</x:v>
      </x:c>
      <x:c r="D84" s="10" t="str">
        <x:v>Zeus Producciones</x:v>
      </x:c>
      <x:c r="E84" s="10" t="str">
        <x:v>Zeus Producciones</x:v>
      </x:c>
      <x:c r="F84" s="10" t="str">
        <x:v>Completada</x:v>
      </x:c>
      <x:c r="G84" s="23" t="n">
        <x:v>45947.74135416667</x:v>
      </x:c>
      <x:c r="H84" s="23" t="n">
        <x:v>45950.958333333336</x:v>
      </x:c>
      <x:c r="I84" s="23" t="n">
        <x:v>45952.59611111111</x:v>
      </x:c>
      <x:c r="J84" s="10" t="str">
        <x:v>Diego Flores (grafía por confirmar), Zeus Producciones, Edwin Naula, Edwin Masa Sisa (identidad por confirmar), Leo Sailema</x:v>
      </x:c>
      <x:c r="K84" s="10" t="str"/>
      <x:c r="L84" s="10"/>
      <x:c r="M84" s="10" t="str">
        <x:v>F26-12-AV</x:v>
      </x:c>
      <x:c r="N84" s="10" t="str">
        <x:v>Producción audiovisual</x:v>
      </x:c>
      <x:c r="O84" s="10" t="str">
        <x:v>Rodajes, entrevistas, streaming y entregables</x:v>
      </x:c>
      <x:c r="P84" s="10" t="str">
        <x:v>Convertir con control</x:v>
      </x:c>
      <x:c r="Q84" s="10" t="str">
        <x:v>Medio</x:v>
      </x:c>
      <x:c r="R84" s="10" t="str">
        <x:v>Coordinación diseño/audiovisual — Andrés Naula</x:v>
      </x:c>
      <x:c r="S84" s="10" t="str">
        <x:v>Coordinación general + dirección de marketing</x:v>
      </x:c>
      <x:c r="T84" s="10" t="str">
        <x:v>Expectativa, conversión y vivo</x:v>
      </x:c>
      <x:c r="U84" s="10" t="str">
        <x:v>Guion, derechos, agenda, scouting, equipo y plan técnico aprobados</x:v>
      </x:c>
      <x:c r="V84" s="10" t="str">
        <x:v>Guion, derechos, agenda, scouting, equipo y plan técnico aprobados</x:v>
      </x:c>
      <x:c r="W84" s="10" t="str">
        <x:v>emoción de actividades scouting sabado 4pm transmisión: misa campal martes 21 8am - 12pm misa requerimiento de personal: switch dirección de cámaras: Andrés naula jefe técnico: Iván Solano cámara: Leonardo sailema soporte: Diego flores drone: operador externo</x:v>
      </x:c>
      <x:c r="X84" s="10" t="str">
        <x:v>No</x:v>
      </x:c>
      <x:c r="Y84" s="10" t="str">
        <x:f>IF(F84&lt;&gt;"Completada","Sin cierre",IF(OR(H84="",I84=""),"Sin dato",IF(I84&lt;=H84,"A tiempo","Tarde")))</x:f>
        <x:v>Tarde</x:v>
      </x:c>
      <x:c r="Z84" s="24" t="n">
        <x:f>IF(OR(G84="",H84=""),"",H84-G84)</x:f>
        <x:v>3.2169791666674428</x:v>
      </x:c>
    </x:row>
    <x:row r="85" ht="42" customHeight="1">
      <x:c r="A85" s="10" t="n">
        <x:v>84</x:v>
      </x:c>
      <x:c r="B85" s="10" t="n">
        <x:v>13458</x:v>
      </x:c>
      <x:c r="C85" s="10" t="str">
        <x:v>DISEÑO INVITACION FISICA</x:v>
      </x:c>
      <x:c r="D85" s="10" t="str">
        <x:v>Edwin Naula</x:v>
      </x:c>
      <x:c r="E85" s="10" t="str">
        <x:v>Edwin Naula</x:v>
      </x:c>
      <x:c r="F85" s="10" t="str">
        <x:v>Completada</x:v>
      </x:c>
      <x:c r="G85" s="23" t="n">
        <x:v>45947.85223379629</x:v>
      </x:c>
      <x:c r="H85" s="23" t="n">
        <x:v>45951.979166666664</x:v>
      </x:c>
      <x:c r="I85" s="23" t="n">
        <x:v>45951.95900462963</x:v>
      </x:c>
      <x:c r="J85" s="10" t="str">
        <x:v>Valery Paredes, Isabela Orozco, Edwin Naula</x:v>
      </x:c>
      <x:c r="K85" s="10" t="str"/>
      <x:c r="L85" s="10"/>
      <x:c r="M85" s="10" t="str">
        <x:v>F26-02-MARCA</x:v>
      </x:c>
      <x:c r="N85" s="10" t="str">
        <x:v>Marca y creatividad</x:v>
      </x:c>
      <x:c r="O85" s="10" t="str">
        <x:v>Sistema visual y adaptaciones maestras</x:v>
      </x:c>
      <x:c r="P85" s="10" t="str">
        <x:v>Consolidar en paquete 2026</x:v>
      </x:c>
      <x:c r="Q85" s="10" t="str">
        <x:v>Medio</x:v>
      </x:c>
      <x:c r="R85" s="10" t="str">
        <x:v>Coordinación diseño/audiovisual — Andrés Naula</x:v>
      </x:c>
      <x:c r="S85" s="10" t="str">
        <x:v>Dirección de marketing + aprobación cultural/marca</x:v>
      </x:c>
      <x:c r="T85" s="10" t="str">
        <x:v>Preparación interna</x:v>
      </x:c>
      <x:c r="U85" s="10" t="str">
        <x:v>Plataforma ES TRADICIÓN y key visual aprobados</x:v>
      </x:c>
      <x:c r="V85" s="10" t="str">
        <x:v>Evitar microtareas ad hoc; trabajar desde un brief, plantilla, dueño y fecha de aprobación.</x:v>
      </x:c>
      <x:c r="W85" s="10" t="str">
        <x:v>Diseño de invitaciones para medios y personalidades a la INAUGURACION OFICIAL FINADOS 2025</x:v>
      </x:c>
      <x:c r="X85" s="10" t="str">
        <x:v>No</x:v>
      </x:c>
      <x:c r="Y85" s="10" t="str">
        <x:f>IF(F85&lt;&gt;"Completada","Sin cierre",IF(OR(H85="",I85=""),"Sin dato",IF(I85&lt;=H85,"A tiempo","Tarde")))</x:f>
        <x:v>A tiempo</x:v>
      </x:c>
      <x:c r="Z85" s="24" t="n">
        <x:f>IF(OR(G85="",H85=""),"",H85-G85)</x:f>
        <x:v>4.126932870371093</x:v>
      </x:c>
    </x:row>
    <x:row r="86" ht="42" customHeight="1">
      <x:c r="A86" s="10" t="n">
        <x:v>85</x:v>
      </x:c>
      <x:c r="B86" s="10" t="n">
        <x:v>13460</x:v>
      </x:c>
      <x:c r="C86" s="10" t="str">
        <x:v>COUNTER CONTEO REGRESIVO</x:v>
      </x:c>
      <x:c r="D86" s="10" t="str">
        <x:v>Edwin Naula</x:v>
      </x:c>
      <x:c r="E86" s="10" t="str">
        <x:v>Edwin Naula</x:v>
      </x:c>
      <x:c r="F86" s="10" t="str">
        <x:v>Completada</x:v>
      </x:c>
      <x:c r="G86" s="23" t="n">
        <x:v>45947.9266087963</x:v>
      </x:c>
      <x:c r="H86" s="23" t="n">
        <x:v>45959.979166666664</x:v>
      </x:c>
      <x:c r="I86" s="23" t="n">
        <x:v>45959.97902777778</x:v>
      </x:c>
      <x:c r="J86" s="10" t="str">
        <x:v>Pam Villa, Diego Flores (grafía por confirmar)</x:v>
      </x:c>
      <x:c r="K86" s="10" t="str"/>
      <x:c r="L86" s="10"/>
      <x:c r="M86" s="10" t="str">
        <x:v>F26-07-SHOW</x:v>
      </x:c>
      <x:c r="N86" s="10" t="str">
        <x:v>Programación y marketing</x:v>
      </x:c>
      <x:c r="O86" s="10" t="str">
        <x:v>Shows, artistas y programación bajo embargo</x:v>
      </x:c>
      <x:c r="P86" s="10" t="str">
        <x:v>Convertir con control</x:v>
      </x:c>
      <x:c r="Q86" s="10" t="str">
        <x:v>Alto</x:v>
      </x:c>
      <x:c r="R86" s="10" t="str">
        <x:v>Programación + coordinación comunicación</x:v>
      </x:c>
      <x:c r="S86" s="10" t="str">
        <x:v>Dirección + programación + derechos</x:v>
      </x:c>
      <x:c r="T86" s="10" t="str">
        <x:v>Revelación y conversión</x:v>
      </x:c>
      <x:c r="U86" s="10" t="str">
        <x:v>Contrato, grafía, día, horario, derechos, embargo y oferta confirmados</x:v>
      </x:c>
      <x:c r="V86" s="10" t="str">
        <x:v>Contrato, grafía, día, horario, derechos, embargo y oferta confirmados</x:v>
      </x:c>
      <x:c r="W86" s="10" t="str">
        <x:v>Se necesita un counter regresivo con atractivos y cta a conciertos y dias de feria</x:v>
      </x:c>
      <x:c r="X86" s="10" t="str">
        <x:v>No</x:v>
      </x:c>
      <x:c r="Y86" s="10" t="str">
        <x:f>IF(F86&lt;&gt;"Completada","Sin cierre",IF(OR(H86="",I86=""),"Sin dato",IF(I86&lt;=H86,"A tiempo","Tarde")))</x:f>
        <x:v>A tiempo</x:v>
      </x:c>
      <x:c r="Z86" s="24" t="n">
        <x:f>IF(OR(G86="",H86=""),"",H86-G86)</x:f>
        <x:v>12.052557870367309</x:v>
      </x:c>
    </x:row>
    <x:row r="87" ht="42" customHeight="1">
      <x:c r="A87" s="10" t="n">
        <x:v>86</x:v>
      </x:c>
      <x:c r="B87" s="10" t="n">
        <x:v>13462</x:v>
      </x:c>
      <x:c r="C87" s="10" t="str">
        <x:v>PROGRAMACION DE FERIA EN PDF INTERACTIVO</x:v>
      </x:c>
      <x:c r="D87" s="10" t="str">
        <x:v>Edwin Naula</x:v>
      </x:c>
      <x:c r="E87" s="10" t="str">
        <x:v>Edwin Naula</x:v>
      </x:c>
      <x:c r="F87" s="10" t="str">
        <x:v>Completada</x:v>
      </x:c>
      <x:c r="G87" s="23" t="n">
        <x:v>45948.52920138889</x:v>
      </x:c>
      <x:c r="H87" s="23" t="n">
        <x:v>45948.958333333336</x:v>
      </x:c>
      <x:c r="I87" s="23" t="n">
        <x:v>45948.960856481484</x:v>
      </x:c>
      <x:c r="J87" s="10" t="str">
        <x:v>Alex Naranjo, Pam Villa, Stalin Flores</x:v>
      </x:c>
      <x:c r="K87" s="10" t="str"/>
      <x:c r="L87" s="10"/>
      <x:c r="M87" s="10" t="str">
        <x:v>F26-06-CONT</x:v>
      </x:c>
      <x:c r="N87" s="10" t="str">
        <x:v>Marketing y comunicación</x:v>
      </x:c>
      <x:c r="O87" s="10" t="str">
        <x:v>Sistema editorial, redes y piezas recurrentes</x:v>
      </x:c>
      <x:c r="P87" s="10" t="str">
        <x:v>Consolidar en paquete 2026</x:v>
      </x:c>
      <x:c r="Q87" s="10" t="str">
        <x:v>Medio</x:v>
      </x:c>
      <x:c r="R87" s="10" t="str">
        <x:v>Coordinación comunicación — Andrés (apellido por confirmar)</x:v>
      </x:c>
      <x:c r="S87" s="10" t="str">
        <x:v>Dirección de marketing — Andrés Naranjo</x:v>
      </x:c>
      <x:c r="T87" s="10" t="str">
        <x:v>Expectativa y conversión</x:v>
      </x:c>
      <x:c r="U87" s="10" t="str">
        <x:v>Brief, fuente vigente, CTA verificable y QA antes de publicar</x:v>
      </x:c>
      <x:c r="V87" s="10" t="str">
        <x:v>Evitar microtareas ad hoc; trabajar desde un brief, plantilla, dueño y fecha de aprobación.</x:v>
      </x:c>
      <x:c r="W87" s="10" t="str">
        <x:v>Se requiere el PDF INTERACTIVO con botón de compra redireccionado a la ticketera, subirlo al feed y anclarlo</x:v>
      </x:c>
      <x:c r="X87" s="10" t="str">
        <x:v>No</x:v>
      </x:c>
      <x:c r="Y87" s="10" t="str">
        <x:f>IF(F87&lt;&gt;"Completada","Sin cierre",IF(OR(H87="",I87=""),"Sin dato",IF(I87&lt;=H87,"A tiempo","Tarde")))</x:f>
        <x:v>Tarde</x:v>
      </x:c>
      <x:c r="Z87" s="24" t="n">
        <x:f>IF(OR(G87="",H87=""),"",H87-G87)</x:f>
        <x:v>0.4291319444455439</x:v>
      </x:c>
    </x:row>
    <x:row r="88" ht="42" customHeight="1">
      <x:c r="A88" s="10" t="n">
        <x:v>87</x:v>
      </x:c>
      <x:c r="B88" s="10" t="n">
        <x:v>13464</x:v>
      </x:c>
      <x:c r="C88" s="10" t="str">
        <x:v>POST FIRMA DE CONVENIO SKYBIZ TRAVEL</x:v>
      </x:c>
      <x:c r="D88" s="10" t="str">
        <x:v>Edwin Naula</x:v>
      </x:c>
      <x:c r="E88" s="10" t="str">
        <x:v>Edwin Naula</x:v>
      </x:c>
      <x:c r="F88" s="10" t="str">
        <x:v>Completada</x:v>
      </x:c>
      <x:c r="G88" s="23" t="n">
        <x:v>45948.5330787037</x:v>
      </x:c>
      <x:c r="H88" s="23" t="n">
        <x:v>45948.958333333336</x:v>
      </x:c>
      <x:c r="I88" s="23" t="n">
        <x:v>45948.619409722225</x:v>
      </x:c>
      <x:c r="J88" s="10" t="str">
        <x:v>Pam Villa</x:v>
      </x:c>
      <x:c r="K88" s="10" t="str"/>
      <x:c r="L88" s="10"/>
      <x:c r="M88" s="10" t="str">
        <x:v>F26-03-PAT</x:v>
      </x:c>
      <x:c r="N88" s="10" t="str">
        <x:v>Patrocinios y aliados</x:v>
      </x:c>
      <x:c r="O88" s="10" t="str">
        <x:v>Auspiciantes: altas, activos, beneficios y evidencia</x:v>
      </x:c>
      <x:c r="P88" s="10" t="str">
        <x:v>Convertir con control</x:v>
      </x:c>
      <x:c r="Q88" s="10" t="str">
        <x:v>Medio</x:v>
      </x:c>
      <x:c r="R88" s="10" t="str">
        <x:v>Dueño de patrocinadores — por asignar</x:v>
      </x:c>
      <x:c r="S88" s="10" t="str">
        <x:v>Dirección + finanzas/comercial</x:v>
      </x:c>
      <x:c r="T88" s="10" t="str">
        <x:v>Revelación y preventa</x:v>
      </x:c>
      <x:c r="U88" s="10" t="str">
        <x:v>Contrato, inventario de beneficios y master de logos conciliados</x:v>
      </x:c>
      <x:c r="V88" s="10" t="str">
        <x:v>Contrato, inventario de beneficios y master de logos conciliados</x:v>
      </x:c>
      <x:c r="W88" s="10" t="str">
        <x:v>Se requiere EL VIDEO CON LAS FOTOS DE LA FIRMA DE CONVENIO CON SKIBIZ TRAVEL</x:v>
      </x:c>
      <x:c r="X88" s="10" t="str">
        <x:v>No</x:v>
      </x:c>
      <x:c r="Y88" s="10" t="str">
        <x:f>IF(F88&lt;&gt;"Completada","Sin cierre",IF(OR(H88="",I88=""),"Sin dato",IF(I88&lt;=H88,"A tiempo","Tarde")))</x:f>
        <x:v>A tiempo</x:v>
      </x:c>
      <x:c r="Z88" s="24" t="n">
        <x:f>IF(OR(G88="",H88=""),"",H88-G88)</x:f>
        <x:v>0.4252546296338551</x:v>
      </x:c>
    </x:row>
    <x:row r="89" ht="42" customHeight="1">
      <x:c r="A89" s="10" t="n">
        <x:v>88</x:v>
      </x:c>
      <x:c r="B89" s="10" t="n">
        <x:v>13466</x:v>
      </x:c>
      <x:c r="C89" s="10" t="str">
        <x:v>REEL PUNTO DE VENTA MUSHUC RUNA COAC</x:v>
      </x:c>
      <x:c r="D89" s="10" t="str">
        <x:v>Edwin Naula</x:v>
      </x:c>
      <x:c r="E89" s="10" t="str">
        <x:v>Edwin Naula</x:v>
      </x:c>
      <x:c r="F89" s="10" t="str">
        <x:v>Completada</x:v>
      </x:c>
      <x:c r="G89" s="23" t="n">
        <x:v>45948.534097222226</x:v>
      </x:c>
      <x:c r="H89" s="23" t="n">
        <x:v>45948.958333333336</x:v>
      </x:c>
      <x:c r="I89" s="23" t="n">
        <x:v>45948.961018518516</x:v>
      </x:c>
      <x:c r="J89" s="10" t="str">
        <x:v>Pam Villa</x:v>
      </x:c>
      <x:c r="K89" s="10" t="str"/>
      <x:c r="L89" s="10"/>
      <x:c r="M89" s="10" t="str">
        <x:v>F26-05-ENT</x:v>
      </x:c>
      <x:c r="N89" s="10" t="str">
        <x:v>Entradas y conversión</x:v>
      </x:c>
      <x:c r="O89" s="10" t="str">
        <x:v>Preventa, boletería, puntos y disponibilidad</x:v>
      </x:c>
      <x:c r="P89" s="10" t="str">
        <x:v>Convertir con control</x:v>
      </x:c>
      <x:c r="Q89" s="10" t="str">
        <x:v>Alto</x:v>
      </x:c>
      <x:c r="R89" s="10" t="str">
        <x:v>Dueño de entradas/comercial — por asignar</x:v>
      </x:c>
      <x:c r="S89" s="10" t="str">
        <x:v>Dirección + finanzas + operación</x:v>
      </x:c>
      <x:c r="T89" s="10" t="str">
        <x:v>Revelación y preventa</x:v>
      </x:c>
      <x:c r="U89" s="10" t="str">
        <x:v>Oferta, precios, aforo, términos, destino seguro y compra de prueba</x:v>
      </x:c>
      <x:c r="V89" s="10" t="str">
        <x:v>Oferta, precios, aforo, términos, destino seguro y compra de prueba</x:v>
      </x:c>
      <x:c r="W89" s="10" t="str"/>
      <x:c r="X89" s="10" t="str">
        <x:v>No</x:v>
      </x:c>
      <x:c r="Y89" s="10" t="str">
        <x:f>IF(F89&lt;&gt;"Completada","Sin cierre",IF(OR(H89="",I89=""),"Sin dato",IF(I89&lt;=H89,"A tiempo","Tarde")))</x:f>
        <x:v>Tarde</x:v>
      </x:c>
      <x:c r="Z89" s="24" t="n">
        <x:f>IF(OR(G89="",H89=""),"",H89-G89)</x:f>
        <x:v>0.4242361111100763</x:v>
      </x:c>
    </x:row>
    <x:row r="90" ht="42" customHeight="1">
      <x:c r="A90" s="10" t="n">
        <x:v>89</x:v>
      </x:c>
      <x:c r="B90" s="10" t="n">
        <x:v>13468</x:v>
      </x:c>
      <x:c r="C90" s="10" t="str">
        <x:v>ANIMACION 4:5 ATRACTIVO JUEGOS MECANICOS</x:v>
      </x:c>
      <x:c r="D90" s="10" t="str">
        <x:v>Edwin Naula</x:v>
      </x:c>
      <x:c r="E90" s="10" t="str">
        <x:v>Edwin Naula</x:v>
      </x:c>
      <x:c r="F90" s="10" t="str">
        <x:v>Completada</x:v>
      </x:c>
      <x:c r="G90" s="23" t="n">
        <x:v>45948.53449074074</x:v>
      </x:c>
      <x:c r="H90" s="23" t="n">
        <x:v>45948.958333333336</x:v>
      </x:c>
      <x:c r="I90" s="23" t="n">
        <x:v>45948.96145833333</x:v>
      </x:c>
      <x:c r="J90" s="10" t="str">
        <x:v>Pam Villa</x:v>
      </x:c>
      <x:c r="K90" s="10" t="str"/>
      <x:c r="L90" s="10"/>
      <x:c r="M90" s="10" t="str">
        <x:v>F26-02-MARCA</x:v>
      </x:c>
      <x:c r="N90" s="10" t="str">
        <x:v>Marca y creatividad</x:v>
      </x:c>
      <x:c r="O90" s="10" t="str">
        <x:v>Sistema visual y adaptaciones maestras</x:v>
      </x:c>
      <x:c r="P90" s="10" t="str">
        <x:v>Consolidar en paquete 2026</x:v>
      </x:c>
      <x:c r="Q90" s="10" t="str">
        <x:v>Medio</x:v>
      </x:c>
      <x:c r="R90" s="10" t="str">
        <x:v>Coordinación diseño/audiovisual — Andrés Naula</x:v>
      </x:c>
      <x:c r="S90" s="10" t="str">
        <x:v>Dirección de marketing + aprobación cultural/marca</x:v>
      </x:c>
      <x:c r="T90" s="10" t="str">
        <x:v>Preparación interna</x:v>
      </x:c>
      <x:c r="U90" s="10" t="str">
        <x:v>Plataforma ES TRADICIÓN y key visual aprobados</x:v>
      </x:c>
      <x:c r="V90" s="10" t="str">
        <x:v>Evitar microtareas ad hoc; trabajar desde un brief, plantilla, dueño y fecha de aprobación.</x:v>
      </x:c>
      <x:c r="W90" s="10" t="str">
        <x:v>Posteo animacion + video de los JUEGOS MECANICOS</x:v>
      </x:c>
      <x:c r="X90" s="10" t="str">
        <x:v>No</x:v>
      </x:c>
      <x:c r="Y90" s="10" t="str">
        <x:f>IF(F90&lt;&gt;"Completada","Sin cierre",IF(OR(H90="",I90=""),"Sin dato",IF(I90&lt;=H90,"A tiempo","Tarde")))</x:f>
        <x:v>Tarde</x:v>
      </x:c>
      <x:c r="Z90" s="24" t="n">
        <x:f>IF(OR(G90="",H90=""),"",H90-G90)</x:f>
        <x:v>0.4238425925941556</x:v>
      </x:c>
    </x:row>
    <x:row r="91" ht="42" customHeight="1">
      <x:c r="A91" s="10" t="n">
        <x:v>90</x:v>
      </x:c>
      <x:c r="B91" s="10" t="n">
        <x:v>13470</x:v>
      </x:c>
      <x:c r="C91" s="10" t="str">
        <x:v>REEL GANA ENTRADAS LLAMANDO A TU EX</x:v>
      </x:c>
      <x:c r="D91" s="10" t="str">
        <x:v>Edwin Naula</x:v>
      </x:c>
      <x:c r="E91" s="10" t="str">
        <x:v>Edwin Naula</x:v>
      </x:c>
      <x:c r="F91" s="10" t="str">
        <x:v>Completada</x:v>
      </x:c>
      <x:c r="G91" s="23" t="n">
        <x:v>45948.53523148148</x:v>
      </x:c>
      <x:c r="H91" s="23" t="n">
        <x:v>45949.041666666664</x:v>
      </x:c>
      <x:c r="I91" s="23" t="n">
        <x:v>45949.97991898148</x:v>
      </x:c>
      <x:c r="J91" s="10" t="str">
        <x:v>Pam Villa</x:v>
      </x:c>
      <x:c r="K91" s="10" t="str"/>
      <x:c r="L91" s="10"/>
      <x:c r="M91" s="10" t="str">
        <x:v>F26-09-CREA</x:v>
      </x:c>
      <x:c r="N91" s="10" t="str">
        <x:v>Creadores y comunidad</x:v>
      </x:c>
      <x:c r="O91" s="10" t="str">
        <x:v>Influencers, embajadores y referidos</x:v>
      </x:c>
      <x:c r="P91" s="10" t="str">
        <x:v>Convertir con control</x:v>
      </x:c>
      <x:c r="Q91" s="10" t="str">
        <x:v>Medio</x:v>
      </x:c>
      <x:c r="R91" s="10" t="str">
        <x:v>Coordinación comunicación + relaciones públicas</x:v>
      </x:c>
      <x:c r="S91" s="10" t="str">
        <x:v>Dirección de marketing + legal/finanzas cuando aplique</x:v>
      </x:c>
      <x:c r="T91" s="10" t="str">
        <x:v>Expectativa y conversión</x:v>
      </x:c>
      <x:c r="U91" s="10" t="str">
        <x:v>Brief, derechos, selección, compensación fija y evidencia verificable</x:v>
      </x:c>
      <x:c r="V91" s="10" t="str">
        <x:v>Brief, derechos, selección, compensación fija y evidencia verificable</x:v>
      </x:c>
      <x:c r="W91" s="10" t="str">
        <x:v>Reel 9:16 con actividad de influencer en la calle regalando entradas</x:v>
      </x:c>
      <x:c r="X91" s="10" t="str">
        <x:v>No</x:v>
      </x:c>
      <x:c r="Y91" s="10" t="str">
        <x:f>IF(F91&lt;&gt;"Completada","Sin cierre",IF(OR(H91="",I91=""),"Sin dato",IF(I91&lt;=H91,"A tiempo","Tarde")))</x:f>
        <x:v>Tarde</x:v>
      </x:c>
      <x:c r="Z91" s="24" t="n">
        <x:f>IF(OR(G91="",H91=""),"",H91-G91)</x:f>
        <x:v>0.5064351851833635</x:v>
      </x:c>
    </x:row>
    <x:row r="92" ht="42" customHeight="1">
      <x:c r="A92" s="10" t="n">
        <x:v>91</x:v>
      </x:c>
      <x:c r="B92" s="10" t="n">
        <x:v>13472</x:v>
      </x:c>
      <x:c r="C92" s="10" t="str">
        <x:v>POST 4:5 Y 9:16 "LA COLADA MORADA MAS GRANDE DEL ECUADOR"</x:v>
      </x:c>
      <x:c r="D92" s="10" t="str">
        <x:v>Edwin Naula</x:v>
      </x:c>
      <x:c r="E92" s="10" t="str">
        <x:v>Edwin Naula</x:v>
      </x:c>
      <x:c r="F92" s="10" t="str">
        <x:v>Completada</x:v>
      </x:c>
      <x:c r="G92" s="23" t="n">
        <x:v>45948.53607638889</x:v>
      </x:c>
      <x:c r="H92" s="23" t="n">
        <x:v>45949.958333333336</x:v>
      </x:c>
      <x:c r="I92" s="23" t="n">
        <x:v>45950.552708333336</x:v>
      </x:c>
      <x:c r="J92" s="10" t="str">
        <x:v>Pam Villa, Valery Paredes</x:v>
      </x:c>
      <x:c r="K92" s="10" t="str"/>
      <x:c r="L92" s="10"/>
      <x:c r="M92" s="10" t="str">
        <x:v>F26-08-TRAD</x:v>
      </x:c>
      <x:c r="N92" s="10" t="str">
        <x:v>Experiencia y cultura</x:v>
      </x:c>
      <x:c r="O92" s="10" t="str">
        <x:v>Tradición, concursos, rituales y cinco jornadas</x:v>
      </x:c>
      <x:c r="P92" s="10" t="str">
        <x:v>Convertir con control</x:v>
      </x:c>
      <x:c r="Q92" s="10" t="str">
        <x:v>Medio</x:v>
      </x:c>
      <x:c r="R92" s="10" t="str">
        <x:v>Experiencia + aprobación cultural — por asignar</x:v>
      </x:c>
      <x:c r="S92" s="10" t="str">
        <x:v>Dirección + comunidad/cultura + operación</x:v>
      </x:c>
      <x:c r="T92" s="10" t="str">
        <x:v>Expectativa y experiencia</x:v>
      </x:c>
      <x:c r="U92" s="10" t="str">
        <x:v>Validación cultural, reglas, capacidad y operación documentadas</x:v>
      </x:c>
      <x:c r="V92" s="10" t="str">
        <x:v>Validación cultural, reglas, capacidad y operación documentadas</x:v>
      </x:c>
      <x:c r="W92" s="10" t="str">
        <x:v>POST 4:5 Y 9:16 La colada mas grande del ecuador 25.000 vasos de colada morada Tradición, sabor y alegría en cada sorbo Martes 04 de noviembre 10:00 am, te esperamos</x:v>
      </x:c>
      <x:c r="X92" s="10" t="str">
        <x:v>No</x:v>
      </x:c>
      <x:c r="Y92" s="10" t="str">
        <x:f>IF(F92&lt;&gt;"Completada","Sin cierre",IF(OR(H92="",I92=""),"Sin dato",IF(I92&lt;=H92,"A tiempo","Tarde")))</x:f>
        <x:v>Tarde</x:v>
      </x:c>
      <x:c r="Z92" s="24" t="n">
        <x:f>IF(OR(G92="",H92=""),"",H92-G92)</x:f>
        <x:v>1.422256944446417</x:v>
      </x:c>
    </x:row>
    <x:row r="93" ht="42" customHeight="1">
      <x:c r="A93" s="10" t="n">
        <x:v>92</x:v>
      </x:c>
      <x:c r="B93" s="10" t="n">
        <x:v>13474</x:v>
      </x:c>
      <x:c r="C93" s="10" t="str">
        <x:v>RODAJE VIDEO PIN PON CON TIERRA CANELA</x:v>
      </x:c>
      <x:c r="D93" s="10" t="str">
        <x:v>Edwin Naula</x:v>
      </x:c>
      <x:c r="E93" s="10" t="str">
        <x:v>Edwin Naula</x:v>
      </x:c>
      <x:c r="F93" s="10" t="str">
        <x:v>Completada</x:v>
      </x:c>
      <x:c r="G93" s="23" t="n">
        <x:v>45948.537199074075</x:v>
      </x:c>
      <x:c r="H93" s="23" t="n">
        <x:v>45950.958333333336</x:v>
      </x:c>
      <x:c r="I93" s="23" t="n">
        <x:v>45950.92606481481</x:v>
      </x:c>
      <x:c r="J93" s="10" t="str">
        <x:v>Pam Villa, Diego Flores (grafía por confirmar)</x:v>
      </x:c>
      <x:c r="K93" s="10" t="str"/>
      <x:c r="L93" s="10"/>
      <x:c r="M93" s="10" t="str">
        <x:v>F26-12-AV</x:v>
      </x:c>
      <x:c r="N93" s="10" t="str">
        <x:v>Producción audiovisual</x:v>
      </x:c>
      <x:c r="O93" s="10" t="str">
        <x:v>Rodajes, entrevistas, streaming y entregables</x:v>
      </x:c>
      <x:c r="P93" s="10" t="str">
        <x:v>Convertir con control</x:v>
      </x:c>
      <x:c r="Q93" s="10" t="str">
        <x:v>Medio</x:v>
      </x:c>
      <x:c r="R93" s="10" t="str">
        <x:v>Coordinación diseño/audiovisual — Andrés Naula</x:v>
      </x:c>
      <x:c r="S93" s="10" t="str">
        <x:v>Coordinación general + dirección de marketing</x:v>
      </x:c>
      <x:c r="T93" s="10" t="str">
        <x:v>Expectativa, conversión y vivo</x:v>
      </x:c>
      <x:c r="U93" s="10" t="str">
        <x:v>Guion, derechos, agenda, scouting, equipo y plan técnico aprobados</x:v>
      </x:c>
      <x:c r="V93" s="10" t="str">
        <x:v>Guion, derechos, agenda, scouting, equipo y plan técnico aprobados</x:v>
      </x:c>
      <x:c r="W93" s="10" t="str">
        <x:v>Luegho de la entrevista en el complejo desarrollar el PIN PON CON TIERRA CANELA</x:v>
      </x:c>
      <x:c r="X93" s="10" t="str">
        <x:v>No</x:v>
      </x:c>
      <x:c r="Y93" s="10" t="str">
        <x:f>IF(F93&lt;&gt;"Completada","Sin cierre",IF(OR(H93="",I93=""),"Sin dato",IF(I93&lt;=H93,"A tiempo","Tarde")))</x:f>
        <x:v>A tiempo</x:v>
      </x:c>
      <x:c r="Z93" s="24" t="n">
        <x:f>IF(OR(G93="",H93=""),"",H93-G93)</x:f>
        <x:v>2.4211342592607252</x:v>
      </x:c>
    </x:row>
    <x:row r="94" ht="42" customHeight="1">
      <x:c r="A94" s="10" t="n">
        <x:v>93</x:v>
      </x:c>
      <x:c r="B94" s="10" t="n">
        <x:v>13476</x:v>
      </x:c>
      <x:c r="C94" s="10" t="str">
        <x:v>POST 4:5 Y 9:16 PARA REDES SOCIALES</x:v>
      </x:c>
      <x:c r="D94" s="10" t="str">
        <x:v>Edwin Naula</x:v>
      </x:c>
      <x:c r="E94" s="10" t="str">
        <x:v>Edwin Naula</x:v>
      </x:c>
      <x:c r="F94" s="10" t="str">
        <x:v>Completada</x:v>
      </x:c>
      <x:c r="G94" s="23" t="n">
        <x:v>45948.53841435185</x:v>
      </x:c>
      <x:c r="H94" s="23" t="n">
        <x:v>45948.958333333336</x:v>
      </x:c>
      <x:c r="I94" s="23" t="n">
        <x:v>45949.49575231481</x:v>
      </x:c>
      <x:c r="J94" s="10" t="str">
        <x:v>Pam Villa, Stalin Flores</x:v>
      </x:c>
      <x:c r="K94" s="10" t="str"/>
      <x:c r="L94" s="10"/>
      <x:c r="M94" s="10" t="str">
        <x:v>F26-04-EXP</x:v>
      </x:c>
      <x:c r="N94" s="10" t="str">
        <x:v>Expositores y comercialización</x:v>
      </x:c>
      <x:c r="O94" s="10" t="str">
        <x:v>Stands, expositores y narrativa comercial</x:v>
      </x:c>
      <x:c r="P94" s="10" t="str">
        <x:v>Consolidar en paquete 2026</x:v>
      </x:c>
      <x:c r="Q94" s="10" t="str">
        <x:v>Medio</x:v>
      </x:c>
      <x:c r="R94" s="10" t="str">
        <x:v>Dueño de expositores — por asignar</x:v>
      </x:c>
      <x:c r="S94" s="10" t="str">
        <x:v>Dirección/comercial + operación</x:v>
      </x:c>
      <x:c r="T94" s="10" t="str">
        <x:v>Revelación y preventa</x:v>
      </x:c>
      <x:c r="U94" s="10" t="str">
        <x:v>Inventario, precios, políticas y capacidad aprobados</x:v>
      </x:c>
      <x:c r="V94" s="10" t="str">
        <x:v>Evitar microtareas ad hoc; trabajar desde un brief, plantilla, dueño y fecha de aprobación.</x:v>
      </x:c>
      <x:c r="W94" s="10" t="str">
        <x:v>En Finados Mushuc Runa… ¡se vive la tradición hecha a mano! barros y madera</x:v>
      </x:c>
      <x:c r="X94" s="10" t="str">
        <x:v>No</x:v>
      </x:c>
      <x:c r="Y94" s="10" t="str">
        <x:f>IF(F94&lt;&gt;"Completada","Sin cierre",IF(OR(H94="",I94=""),"Sin dato",IF(I94&lt;=H94,"A tiempo","Tarde")))</x:f>
        <x:v>Tarde</x:v>
      </x:c>
      <x:c r="Z94" s="24" t="n">
        <x:f>IF(OR(G94="",H94=""),"",H94-G94)</x:f>
        <x:v>0.4199189814826241</x:v>
      </x:c>
    </x:row>
    <x:row r="95" ht="42" customHeight="1">
      <x:c r="A95" s="10" t="n">
        <x:v>94</x:v>
      </x:c>
      <x:c r="B95" s="10" t="n">
        <x:v>13478</x:v>
      </x:c>
      <x:c r="C95" s="10" t="str">
        <x:v>REEL COLADA MORADA</x:v>
      </x:c>
      <x:c r="D95" s="10" t="str">
        <x:v>Edwin Naula</x:v>
      </x:c>
      <x:c r="E95" s="10" t="str">
        <x:v>Edwin Naula</x:v>
      </x:c>
      <x:c r="F95" s="10" t="str">
        <x:v>Completada</x:v>
      </x:c>
      <x:c r="G95" s="23" t="n">
        <x:v>45948.543078703704</x:v>
      </x:c>
      <x:c r="H95" s="23" t="n">
        <x:v>45949.958333333336</x:v>
      </x:c>
      <x:c r="I95" s="23" t="n">
        <x:v>45949.980625</x:v>
      </x:c>
      <x:c r="J95" s="10" t="str">
        <x:v>Pam Villa</x:v>
      </x:c>
      <x:c r="K95" s="10" t="str"/>
      <x:c r="L95" s="10"/>
      <x:c r="M95" s="10" t="str">
        <x:v>F26-08-TRAD</x:v>
      </x:c>
      <x:c r="N95" s="10" t="str">
        <x:v>Experiencia y cultura</x:v>
      </x:c>
      <x:c r="O95" s="10" t="str">
        <x:v>Tradición, concursos, rituales y cinco jornadas</x:v>
      </x:c>
      <x:c r="P95" s="10" t="str">
        <x:v>Convertir con control</x:v>
      </x:c>
      <x:c r="Q95" s="10" t="str">
        <x:v>Medio</x:v>
      </x:c>
      <x:c r="R95" s="10" t="str">
        <x:v>Experiencia + aprobación cultural — por asignar</x:v>
      </x:c>
      <x:c r="S95" s="10" t="str">
        <x:v>Dirección + comunidad/cultura + operación</x:v>
      </x:c>
      <x:c r="T95" s="10" t="str">
        <x:v>Expectativa y experiencia</x:v>
      </x:c>
      <x:c r="U95" s="10" t="str">
        <x:v>Validación cultural, reglas, capacidad y operación documentadas</x:v>
      </x:c>
      <x:c r="V95" s="10" t="str">
        <x:v>Validación cultural, reglas, capacidad y operación documentadas</x:v>
      </x:c>
      <x:c r="W95" s="10" t="str">
        <x:v>Reel 9:16 COLADA MORADA MAS GRANDE DELE CUADOR + 25.000 VASOS DE COLADA</x:v>
      </x:c>
      <x:c r="X95" s="10" t="str">
        <x:v>No</x:v>
      </x:c>
      <x:c r="Y95" s="10" t="str">
        <x:f>IF(F95&lt;&gt;"Completada","Sin cierre",IF(OR(H95="",I95=""),"Sin dato",IF(I95&lt;=H95,"A tiempo","Tarde")))</x:f>
        <x:v>Tarde</x:v>
      </x:c>
      <x:c r="Z95" s="24" t="n">
        <x:f>IF(OR(G95="",H95=""),"",H95-G95)</x:f>
        <x:v>1.4152546296318178</x:v>
      </x:c>
    </x:row>
    <x:row r="96" ht="42" customHeight="1">
      <x:c r="A96" s="10" t="n">
        <x:v>95</x:v>
      </x:c>
      <x:c r="B96" s="10" t="n">
        <x:v>13480</x:v>
      </x:c>
      <x:c r="C96" s="10" t="str">
        <x:v>POSTEXPOSITORES - 9:16 - 4:5</x:v>
      </x:c>
      <x:c r="D96" s="10" t="str">
        <x:v>Edwin Naula</x:v>
      </x:c>
      <x:c r="E96" s="10" t="str">
        <x:v>Edwin Naula</x:v>
      </x:c>
      <x:c r="F96" s="10" t="str">
        <x:v>Completada</x:v>
      </x:c>
      <x:c r="G96" s="23" t="n">
        <x:v>45948.54405092593</x:v>
      </x:c>
      <x:c r="H96" s="23" t="n">
        <x:v>45948.958333333336</x:v>
      </x:c>
      <x:c r="I96" s="23" t="n">
        <x:v>45948.61896990741</x:v>
      </x:c>
      <x:c r="J96" s="10" t="str">
        <x:v>Pam Villa, Diego Flores (grafía por confirmar)</x:v>
      </x:c>
      <x:c r="K96" s="10" t="str"/>
      <x:c r="L96" s="10"/>
      <x:c r="M96" s="10" t="str">
        <x:v>F26-04-EXP</x:v>
      </x:c>
      <x:c r="N96" s="10" t="str">
        <x:v>Expositores y comercialización</x:v>
      </x:c>
      <x:c r="O96" s="10" t="str">
        <x:v>Stands, expositores y narrativa comercial</x:v>
      </x:c>
      <x:c r="P96" s="10" t="str">
        <x:v>Consolidar en paquete 2026</x:v>
      </x:c>
      <x:c r="Q96" s="10" t="str">
        <x:v>Medio</x:v>
      </x:c>
      <x:c r="R96" s="10" t="str">
        <x:v>Dueño de expositores — por asignar</x:v>
      </x:c>
      <x:c r="S96" s="10" t="str">
        <x:v>Dirección/comercial + operación</x:v>
      </x:c>
      <x:c r="T96" s="10" t="str">
        <x:v>Revelación y preventa</x:v>
      </x:c>
      <x:c r="U96" s="10" t="str">
        <x:v>Inventario, precios, políticas y capacidad aprobados</x:v>
      </x:c>
      <x:c r="V96" s="10" t="str">
        <x:v>Evitar microtareas ad hoc; trabajar desde un brief, plantilla, dueño y fecha de aprobación.</x:v>
      </x:c>
      <x:c r="W96" s="10" t="str">
        <x:v>En Finados Mushuc Runa… ¡se vive el comercio con tradición! Ofertas, sabores y emociones en cada puesto</x:v>
      </x:c>
      <x:c r="X96" s="10" t="str">
        <x:v>No</x:v>
      </x:c>
      <x:c r="Y96" s="10" t="str">
        <x:f>IF(F96&lt;&gt;"Completada","Sin cierre",IF(OR(H96="",I96=""),"Sin dato",IF(I96&lt;=H96,"A tiempo","Tarde")))</x:f>
        <x:v>A tiempo</x:v>
      </x:c>
      <x:c r="Z96" s="24" t="n">
        <x:f>IF(OR(G96="",H96=""),"",H96-G96)</x:f>
        <x:v>0.4142824074078817</x:v>
      </x:c>
    </x:row>
    <x:row r="97" ht="42" customHeight="1">
      <x:c r="A97" s="10" t="n">
        <x:v>96</x:v>
      </x:c>
      <x:c r="B97" s="10" t="n">
        <x:v>13482</x:v>
      </x:c>
      <x:c r="C97" s="10" t="str">
        <x:v>POST FIRMA DE CONVENIO FINAFIN</x:v>
      </x:c>
      <x:c r="D97" s="10" t="str">
        <x:v>Edwin Naula</x:v>
      </x:c>
      <x:c r="E97" s="10" t="str">
        <x:v>Edwin Naula</x:v>
      </x:c>
      <x:c r="F97" s="10" t="str">
        <x:v>Completada</x:v>
      </x:c>
      <x:c r="G97" s="23" t="n">
        <x:v>45948.54582175926</x:v>
      </x:c>
      <x:c r="H97" s="23" t="n">
        <x:v>45948.958333333336</x:v>
      </x:c>
      <x:c r="I97" s="23" t="n">
        <x:v>45948.962013888886</x:v>
      </x:c>
      <x:c r="J97" s="10" t="str">
        <x:v>Pam Villa, Diego Flores (grafía por confirmar)</x:v>
      </x:c>
      <x:c r="K97" s="10" t="str"/>
      <x:c r="L97" s="10"/>
      <x:c r="M97" s="10" t="str">
        <x:v>F26-03-PAT</x:v>
      </x:c>
      <x:c r="N97" s="10" t="str">
        <x:v>Patrocinios y aliados</x:v>
      </x:c>
      <x:c r="O97" s="10" t="str">
        <x:v>Auspiciantes: altas, activos, beneficios y evidencia</x:v>
      </x:c>
      <x:c r="P97" s="10" t="str">
        <x:v>Convertir con control</x:v>
      </x:c>
      <x:c r="Q97" s="10" t="str">
        <x:v>Medio</x:v>
      </x:c>
      <x:c r="R97" s="10" t="str">
        <x:v>Dueño de patrocinadores — por asignar</x:v>
      </x:c>
      <x:c r="S97" s="10" t="str">
        <x:v>Dirección + finanzas/comercial</x:v>
      </x:c>
      <x:c r="T97" s="10" t="str">
        <x:v>Revelación y preventa</x:v>
      </x:c>
      <x:c r="U97" s="10" t="str">
        <x:v>Contrato, inventario de beneficios y master de logos conciliados</x:v>
      </x:c>
      <x:c r="V97" s="10" t="str">
        <x:v>Contrato, inventario de beneficios y master de logos conciliados</x:v>
      </x:c>
      <x:c r="W97" s="10" t="str">
        <x:v>Se requiere el posteo + reel de la firma de convenio</x:v>
      </x:c>
      <x:c r="X97" s="10" t="str">
        <x:v>No</x:v>
      </x:c>
      <x:c r="Y97" s="10" t="str">
        <x:f>IF(F97&lt;&gt;"Completada","Sin cierre",IF(OR(H97="",I97=""),"Sin dato",IF(I97&lt;=H97,"A tiempo","Tarde")))</x:f>
        <x:v>Tarde</x:v>
      </x:c>
      <x:c r="Z97" s="24" t="n">
        <x:f>IF(OR(G97="",H97=""),"",H97-G97)</x:f>
        <x:v>0.41251157407532446</x:v>
      </x:c>
    </x:row>
    <x:row r="98" ht="42" customHeight="1">
      <x:c r="A98" s="10" t="n">
        <x:v>97</x:v>
      </x:c>
      <x:c r="B98" s="10" t="n">
        <x:v>13484</x:v>
      </x:c>
      <x:c r="C98" s="10" t="str">
        <x:v>REEL KAROAKE BASCA</x:v>
      </x:c>
      <x:c r="D98" s="10" t="str">
        <x:v>Edwin Naula</x:v>
      </x:c>
      <x:c r="E98" s="10" t="str">
        <x:v>Edwin Naula</x:v>
      </x:c>
      <x:c r="F98" s="10" t="str">
        <x:v>Completada</x:v>
      </x:c>
      <x:c r="G98" s="23" t="n">
        <x:v>45948.55158564815</x:v>
      </x:c>
      <x:c r="H98" s="23" t="n">
        <x:v>45949.958333333336</x:v>
      </x:c>
      <x:c r="I98" s="23" t="n">
        <x:v>45950.00770833333</x:v>
      </x:c>
      <x:c r="J98" s="10" t="str">
        <x:v>Pam Villa, Diego Flores (grafía por confirmar)</x:v>
      </x:c>
      <x:c r="K98" s="10" t="str"/>
      <x:c r="L98" s="10"/>
      <x:c r="M98" s="10" t="str">
        <x:v>F26-07-SHOW</x:v>
      </x:c>
      <x:c r="N98" s="10" t="str">
        <x:v>Programación y marketing</x:v>
      </x:c>
      <x:c r="O98" s="10" t="str">
        <x:v>Shows, artistas y programación bajo embargo</x:v>
      </x:c>
      <x:c r="P98" s="10" t="str">
        <x:v>Convertir con control</x:v>
      </x:c>
      <x:c r="Q98" s="10" t="str">
        <x:v>Alto</x:v>
      </x:c>
      <x:c r="R98" s="10" t="str">
        <x:v>Programación + coordinación comunicación</x:v>
      </x:c>
      <x:c r="S98" s="10" t="str">
        <x:v>Dirección + programación + derechos</x:v>
      </x:c>
      <x:c r="T98" s="10" t="str">
        <x:v>Revelación y conversión</x:v>
      </x:c>
      <x:c r="U98" s="10" t="str">
        <x:v>Contrato, grafía, día, horario, derechos, embargo y oferta confirmados</x:v>
      </x:c>
      <x:c r="V98" s="10" t="str">
        <x:v>Contrato, grafía, día, horario, derechos, embargo y oferta confirmados</x:v>
      </x:c>
      <x:c r="W98" s="10" t="str">
        <x:v>FORMATO 9:16 CON KARAOKE Y CTA COMPRA TUS ENTRADAS</x:v>
      </x:c>
      <x:c r="X98" s="10" t="str">
        <x:v>No</x:v>
      </x:c>
      <x:c r="Y98" s="10" t="str">
        <x:f>IF(F98&lt;&gt;"Completada","Sin cierre",IF(OR(H98="",I98=""),"Sin dato",IF(I98&lt;=H98,"A tiempo","Tarde")))</x:f>
        <x:v>Tarde</x:v>
      </x:c>
      <x:c r="Z98" s="24" t="n">
        <x:f>IF(OR(G98="",H98=""),"",H98-G98)</x:f>
        <x:v>1.4067476851851097</x:v>
      </x:c>
    </x:row>
    <x:row r="99" ht="42" customHeight="1">
      <x:c r="A99" s="10" t="n">
        <x:v>98</x:v>
      </x:c>
      <x:c r="B99" s="10" t="n">
        <x:v>13486</x:v>
      </x:c>
      <x:c r="C99" s="10" t="str">
        <x:v>CAMBIO DE PORTADA FB</x:v>
      </x:c>
      <x:c r="D99" s="10" t="str">
        <x:v>Edwin Naula</x:v>
      </x:c>
      <x:c r="E99" s="10" t="str">
        <x:v>Edwin Naula</x:v>
      </x:c>
      <x:c r="F99" s="10" t="str">
        <x:v>Completada</x:v>
      </x:c>
      <x:c r="G99" s="23" t="n">
        <x:v>45948.55621527778</x:v>
      </x:c>
      <x:c r="H99" s="23" t="n">
        <x:v>45949.958333333336</x:v>
      </x:c>
      <x:c r="I99" s="23" t="n">
        <x:v>45950.551157407404</x:v>
      </x:c>
      <x:c r="J99" s="10" t="str">
        <x:v>Pam Villa, Stalin Flores, Valery Paredes</x:v>
      </x:c>
      <x:c r="K99" s="10" t="str"/>
      <x:c r="L99" s="10"/>
      <x:c r="M99" s="10" t="str">
        <x:v>F26-07-SHOW</x:v>
      </x:c>
      <x:c r="N99" s="10" t="str">
        <x:v>Programación y marketing</x:v>
      </x:c>
      <x:c r="O99" s="10" t="str">
        <x:v>Shows, artistas y programación bajo embargo</x:v>
      </x:c>
      <x:c r="P99" s="10" t="str">
        <x:v>Convertir con control</x:v>
      </x:c>
      <x:c r="Q99" s="10" t="str">
        <x:v>Alto</x:v>
      </x:c>
      <x:c r="R99" s="10" t="str">
        <x:v>Programación + coordinación comunicación</x:v>
      </x:c>
      <x:c r="S99" s="10" t="str">
        <x:v>Dirección + programación + derechos</x:v>
      </x:c>
      <x:c r="T99" s="10" t="str">
        <x:v>Revelación y conversión</x:v>
      </x:c>
      <x:c r="U99" s="10" t="str">
        <x:v>Contrato, grafía, día, horario, derechos, embargo y oferta confirmados</x:v>
      </x:c>
      <x:c r="V99" s="10" t="str">
        <x:v>Contrato, grafía, día, horario, derechos, embargo y oferta confirmados</x:v>
      </x:c>
      <x:c r="W99" s="10" t="str">
        <x:v>Cambio de portada IMAGEN y TEXTO (ARTISTAS)</x:v>
      </x:c>
      <x:c r="X99" s="10" t="str">
        <x:v>No</x:v>
      </x:c>
      <x:c r="Y99" s="10" t="str">
        <x:f>IF(F99&lt;&gt;"Completada","Sin cierre",IF(OR(H99="",I99=""),"Sin dato",IF(I99&lt;=H99,"A tiempo","Tarde")))</x:f>
        <x:v>Tarde</x:v>
      </x:c>
      <x:c r="Z99" s="24" t="n">
        <x:f>IF(OR(G99="",H99=""),"",H99-G99)</x:f>
        <x:v>1.4021180555573665</x:v>
      </x:c>
    </x:row>
    <x:row r="100" ht="42" customHeight="1">
      <x:c r="A100" s="10" t="n">
        <x:v>99</x:v>
      </x:c>
      <x:c r="B100" s="10" t="n">
        <x:v>13488</x:v>
      </x:c>
      <x:c r="C100" s="10" t="str">
        <x:v>CARRUSEL IG - CONCURSO GUAGUAS DE PAN</x:v>
      </x:c>
      <x:c r="D100" s="10" t="str">
        <x:v>Edwin Naula</x:v>
      </x:c>
      <x:c r="E100" s="10" t="str">
        <x:v>Edwin Naula</x:v>
      </x:c>
      <x:c r="F100" s="10" t="str">
        <x:v>Completada</x:v>
      </x:c>
      <x:c r="G100" s="23" t="n">
        <x:v>45950.55930555556</x:v>
      </x:c>
      <x:c r="H100" s="23" t="n">
        <x:v>45954.979166666664</x:v>
      </x:c>
      <x:c r="I100" s="23" t="n">
        <x:v>45954.16043981481</x:v>
      </x:c>
      <x:c r="J100" s="10" t="str">
        <x:v>Pam Villa, Stalin Flores, Diego Flores (grafía por confirmar)</x:v>
      </x:c>
      <x:c r="K100" s="10" t="str"/>
      <x:c r="L100" s="10"/>
      <x:c r="M100" s="10" t="str">
        <x:v>F26-08-TRAD</x:v>
      </x:c>
      <x:c r="N100" s="10" t="str">
        <x:v>Experiencia y cultura</x:v>
      </x:c>
      <x:c r="O100" s="10" t="str">
        <x:v>Tradición, concursos, rituales y cinco jornadas</x:v>
      </x:c>
      <x:c r="P100" s="10" t="str">
        <x:v>Convertir con control</x:v>
      </x:c>
      <x:c r="Q100" s="10" t="str">
        <x:v>Medio</x:v>
      </x:c>
      <x:c r="R100" s="10" t="str">
        <x:v>Experiencia + aprobación cultural — por asignar</x:v>
      </x:c>
      <x:c r="S100" s="10" t="str">
        <x:v>Dirección + comunidad/cultura + operación</x:v>
      </x:c>
      <x:c r="T100" s="10" t="str">
        <x:v>Expectativa y experiencia</x:v>
      </x:c>
      <x:c r="U100" s="10" t="str">
        <x:v>Validación cultural, reglas, capacidad y operación documentadas</x:v>
      </x:c>
      <x:c r="V100" s="10" t="str">
        <x:v>Validación cultural, reglas, capacidad y operación documentadas</x:v>
      </x:c>
      <x:c r="W100" s="10" t="str">
        <x:v>----- CARRUSEL (4 slides) - INstagram Slide 1 – Portada: CONCURSO DE GUAGUAS DE PAN La Tradición Cobra Vida Martes 4 de noviembre – 10h30 Complejo Intercultural Mushuc Runa ¡Te esperamos con tu mejor creación! Slide 2 – Detalles ¡Decora libremente con materiales comestibles! Tamaño de tu pieza Base: 50 a 80 cm Altura: 50 a 80 cm ¡Hazla única y sorprende al jurado! Slide 3 – Se calificará: Originalidad Dificultad Presentación Fidelidad al tema ¡rescatando tradiciones! Slide 4 – Premios y certificados para todos [CORREO OMITIDO] [TELÉFONO OMITIDO] ¡Inscríbete y deja que tu guagua hable por ti!</x:v>
      </x:c>
      <x:c r="X100" s="10" t="str">
        <x:v>Sí</x:v>
      </x:c>
      <x:c r="Y100" s="10" t="str">
        <x:f>IF(F100&lt;&gt;"Completada","Sin cierre",IF(OR(H100="",I100=""),"Sin dato",IF(I100&lt;=H100,"A tiempo","Tarde")))</x:f>
        <x:v>A tiempo</x:v>
      </x:c>
      <x:c r="Z100" s="24" t="n">
        <x:f>IF(OR(G100="",H100=""),"",H100-G100)</x:f>
        <x:v>4.419861111106002</x:v>
      </x:c>
    </x:row>
    <x:row r="101" ht="42" customHeight="1">
      <x:c r="A101" s="10" t="n">
        <x:v>100</x:v>
      </x:c>
      <x:c r="B101" s="10" t="n">
        <x:v>13490</x:v>
      </x:c>
      <x:c r="C101" s="10" t="str">
        <x:v>POSTEO URGENCIA CONCURSO GUAGUAS DE PAN</x:v>
      </x:c>
      <x:c r="D101" s="10" t="str">
        <x:v>Edwin Naula</x:v>
      </x:c>
      <x:c r="E101" s="10" t="str">
        <x:v>Edwin Naula</x:v>
      </x:c>
      <x:c r="F101" s="10" t="str">
        <x:v>Completada</x:v>
      </x:c>
      <x:c r="G101" s="23" t="n">
        <x:v>45950.56047453704</x:v>
      </x:c>
      <x:c r="H101" s="23" t="n">
        <x:v>45950.958333333336</x:v>
      </x:c>
      <x:c r="I101" s="23" t="n">
        <x:v>45950.896145833336</x:v>
      </x:c>
      <x:c r="J101" s="10" t="str">
        <x:v>Pam Villa, Stalin Flores</x:v>
      </x:c>
      <x:c r="K101" s="10" t="str"/>
      <x:c r="L101" s="10"/>
      <x:c r="M101" s="10" t="str">
        <x:v>F26-08-TRAD</x:v>
      </x:c>
      <x:c r="N101" s="10" t="str">
        <x:v>Experiencia y cultura</x:v>
      </x:c>
      <x:c r="O101" s="10" t="str">
        <x:v>Tradición, concursos, rituales y cinco jornadas</x:v>
      </x:c>
      <x:c r="P101" s="10" t="str">
        <x:v>Convertir con control</x:v>
      </x:c>
      <x:c r="Q101" s="10" t="str">
        <x:v>Medio</x:v>
      </x:c>
      <x:c r="R101" s="10" t="str">
        <x:v>Experiencia + aprobación cultural — por asignar</x:v>
      </x:c>
      <x:c r="S101" s="10" t="str">
        <x:v>Dirección + comunidad/cultura + operación</x:v>
      </x:c>
      <x:c r="T101" s="10" t="str">
        <x:v>Expectativa y experiencia</x:v>
      </x:c>
      <x:c r="U101" s="10" t="str">
        <x:v>Validación cultural, reglas, capacidad y operación documentadas</x:v>
      </x:c>
      <x:c r="V101" s="10" t="str">
        <x:v>Validación cultural, reglas, capacidad y operación documentadas</x:v>
      </x:c>
      <x:c r="W101" s="10" t="str">
        <x:v>- POST URGENTE PARA LLAMAR A LAS INSCRIPCIONES. CTA: ¡YA TE INSCRIBISTE AL CONCURSO! FALTAN POCOS DÍAS ADICIONAR LA INFORMACION EXISTENTE EN EL PRIMER POSTEO Premios y certificados para todos [CORREO OMITIDO] [TELÉFONO OMITIDO] ¡Inscríbete y deja que tu guagua hable por ti!</x:v>
      </x:c>
      <x:c r="X101" s="10" t="str">
        <x:v>Sí</x:v>
      </x:c>
      <x:c r="Y101" s="10" t="str">
        <x:f>IF(F101&lt;&gt;"Completada","Sin cierre",IF(OR(H101="",I101=""),"Sin dato",IF(I101&lt;=H101,"A tiempo","Tarde")))</x:f>
        <x:v>A tiempo</x:v>
      </x:c>
      <x:c r="Z101" s="24" t="n">
        <x:f>IF(OR(G101="",H101=""),"",H101-G101)</x:f>
        <x:v>0.3978587962992606</x:v>
      </x:c>
    </x:row>
    <x:row r="102" ht="42" customHeight="1">
      <x:c r="A102" s="10" t="n">
        <x:v>101</x:v>
      </x:c>
      <x:c r="B102" s="10" t="n">
        <x:v>13492</x:v>
      </x:c>
      <x:c r="C102" s="10" t="str">
        <x:v>DISEÑO POST SHOWS</x:v>
      </x:c>
      <x:c r="D102" s="10" t="str">
        <x:v>Edwin Naula</x:v>
      </x:c>
      <x:c r="E102" s="10" t="str">
        <x:v>Edwin Naula</x:v>
      </x:c>
      <x:c r="F102" s="10" t="str">
        <x:v>Completada</x:v>
      </x:c>
      <x:c r="G102" s="23" t="n">
        <x:v>45950.56134259259</x:v>
      </x:c>
      <x:c r="H102" s="23" t="n">
        <x:v>45954.979166666664</x:v>
      </x:c>
      <x:c r="I102" s="23" t="n">
        <x:v>45954.943773148145</x:v>
      </x:c>
      <x:c r="J102" s="10" t="str">
        <x:v>Pam Villa, Valery Paredes</x:v>
      </x:c>
      <x:c r="K102" s="10" t="str"/>
      <x:c r="L102" s="10"/>
      <x:c r="M102" s="10" t="str">
        <x:v>F26-07-SHOW</x:v>
      </x:c>
      <x:c r="N102" s="10" t="str">
        <x:v>Programación y marketing</x:v>
      </x:c>
      <x:c r="O102" s="10" t="str">
        <x:v>Shows, artistas y programación bajo embargo</x:v>
      </x:c>
      <x:c r="P102" s="10" t="str">
        <x:v>Convertir con control</x:v>
      </x:c>
      <x:c r="Q102" s="10" t="str">
        <x:v>Alto</x:v>
      </x:c>
      <x:c r="R102" s="10" t="str">
        <x:v>Programación + coordinación comunicación</x:v>
      </x:c>
      <x:c r="S102" s="10" t="str">
        <x:v>Dirección + programación + derechos</x:v>
      </x:c>
      <x:c r="T102" s="10" t="str">
        <x:v>Revelación y conversión</x:v>
      </x:c>
      <x:c r="U102" s="10" t="str">
        <x:v>Contrato, grafía, día, horario, derechos, embargo y oferta confirmados</x:v>
      </x:c>
      <x:c r="V102" s="10" t="str">
        <x:v>Contrato, grafía, día, horario, derechos, embargo y oferta confirmados</x:v>
      </x:c>
      <x:c r="W102" s="10" t="str">
        <x:v>SE REQUEIRE EL DISEÑO DE POSTEO EN FORMATO 4:5 Y 9:16 SOBRE: - EL ARTISTA PRINCIPAL DEL MEGAESCENARIO POR DIA - AÑADIR LOS HORARIOS DE LOS DEMÀS ARTISTAS - AÑADIR FECHA, HORARIO, INDICACIONES</x:v>
      </x:c>
      <x:c r="X102" s="10" t="str">
        <x:v>No</x:v>
      </x:c>
      <x:c r="Y102" s="10" t="str">
        <x:f>IF(F102&lt;&gt;"Completada","Sin cierre",IF(OR(H102="",I102=""),"Sin dato",IF(I102&lt;=H102,"A tiempo","Tarde")))</x:f>
        <x:v>A tiempo</x:v>
      </x:c>
      <x:c r="Z102" s="24" t="n">
        <x:f>IF(OR(G102="",H102=""),"",H102-G102)</x:f>
        <x:v>4.417824074072996</x:v>
      </x:c>
    </x:row>
    <x:row r="103" ht="42" customHeight="1">
      <x:c r="A103" s="10" t="n">
        <x:v>102</x:v>
      </x:c>
      <x:c r="B103" s="10" t="n">
        <x:v>13494</x:v>
      </x:c>
      <x:c r="C103" s="10" t="str">
        <x:v>REEL DINA PAUCAR CON RICKY TORRES</x:v>
      </x:c>
      <x:c r="D103" s="10" t="str">
        <x:v>Edwin Naula</x:v>
      </x:c>
      <x:c r="E103" s="10" t="str">
        <x:v>Edwin Naula</x:v>
      </x:c>
      <x:c r="F103" s="10" t="str">
        <x:v>Completada</x:v>
      </x:c>
      <x:c r="G103" s="23" t="n">
        <x:v>45950.56747685185</x:v>
      </x:c>
      <x:c r="H103" s="23" t="n">
        <x:v>45952.979166666664</x:v>
      </x:c>
      <x:c r="I103" s="23" t="n">
        <x:v>45952.980266203704</x:v>
      </x:c>
      <x:c r="J103" s="10" t="str">
        <x:v>Pam Villa, Edwin Naula</x:v>
      </x:c>
      <x:c r="K103" s="10" t="str"/>
      <x:c r="L103" s="10"/>
      <x:c r="M103" s="10" t="str">
        <x:v>F26-09-CREA</x:v>
      </x:c>
      <x:c r="N103" s="10" t="str">
        <x:v>Creadores y comunidad</x:v>
      </x:c>
      <x:c r="O103" s="10" t="str">
        <x:v>Influencers, embajadores y referidos</x:v>
      </x:c>
      <x:c r="P103" s="10" t="str">
        <x:v>Convertir con control</x:v>
      </x:c>
      <x:c r="Q103" s="10" t="str">
        <x:v>Medio</x:v>
      </x:c>
      <x:c r="R103" s="10" t="str">
        <x:v>Coordinación comunicación + relaciones públicas</x:v>
      </x:c>
      <x:c r="S103" s="10" t="str">
        <x:v>Dirección de marketing + legal/finanzas cuando aplique</x:v>
      </x:c>
      <x:c r="T103" s="10" t="str">
        <x:v>Expectativa y conversión</x:v>
      </x:c>
      <x:c r="U103" s="10" t="str">
        <x:v>Brief, derechos, selección, compensación fija y evidencia verificable</x:v>
      </x:c>
      <x:c r="V103" s="10" t="str">
        <x:v>Brief, derechos, selección, compensación fija y evidencia verificable</x:v>
      </x:c>
      <x:c r="W103" s="10" t="str">
        <x:v>REEL 9:16 DE INVITACION Y CTA COMPRA TUS ENTRADAS PARA DINA PAUCAR</x:v>
      </x:c>
      <x:c r="X103" s="10" t="str">
        <x:v>No</x:v>
      </x:c>
      <x:c r="Y103" s="10" t="str">
        <x:f>IF(F103&lt;&gt;"Completada","Sin cierre",IF(OR(H103="",I103=""),"Sin dato",IF(I103&lt;=H103,"A tiempo","Tarde")))</x:f>
        <x:v>Tarde</x:v>
      </x:c>
      <x:c r="Z103" s="24" t="n">
        <x:f>IF(OR(G103="",H103=""),"",H103-G103)</x:f>
        <x:v>2.411689814813144</x:v>
      </x:c>
    </x:row>
    <x:row r="104" ht="42" customHeight="1">
      <x:c r="A104" s="10" t="n">
        <x:v>103</x:v>
      </x:c>
      <x:c r="B104" s="10" t="n">
        <x:v>13496</x:v>
      </x:c>
      <x:c r="C104" s="10" t="str">
        <x:v>REEL RICKY TORRES INVITACION FERIA</x:v>
      </x:c>
      <x:c r="D104" s="10" t="str">
        <x:v>Edwin Naula</x:v>
      </x:c>
      <x:c r="E104" s="10" t="str">
        <x:v>Edwin Naula</x:v>
      </x:c>
      <x:c r="F104" s="10" t="str">
        <x:v>Completada</x:v>
      </x:c>
      <x:c r="G104" s="23" t="n">
        <x:v>45950.56884259259</x:v>
      </x:c>
      <x:c r="H104" s="23" t="n">
        <x:v>45950.958333333336</x:v>
      </x:c>
      <x:c r="I104" s="23" t="n">
        <x:v>45950.928715277776</x:v>
      </x:c>
      <x:c r="J104" s="10" t="str">
        <x:v>Pam Villa</x:v>
      </x:c>
      <x:c r="K104" s="10" t="str"/>
      <x:c r="L104" s="10"/>
      <x:c r="M104" s="10" t="str">
        <x:v>F26-09-CREA</x:v>
      </x:c>
      <x:c r="N104" s="10" t="str">
        <x:v>Creadores y comunidad</x:v>
      </x:c>
      <x:c r="O104" s="10" t="str">
        <x:v>Influencers, embajadores y referidos</x:v>
      </x:c>
      <x:c r="P104" s="10" t="str">
        <x:v>Convertir con control</x:v>
      </x:c>
      <x:c r="Q104" s="10" t="str">
        <x:v>Medio</x:v>
      </x:c>
      <x:c r="R104" s="10" t="str">
        <x:v>Coordinación comunicación + relaciones públicas</x:v>
      </x:c>
      <x:c r="S104" s="10" t="str">
        <x:v>Dirección de marketing + legal/finanzas cuando aplique</x:v>
      </x:c>
      <x:c r="T104" s="10" t="str">
        <x:v>Expectativa y conversión</x:v>
      </x:c>
      <x:c r="U104" s="10" t="str">
        <x:v>Brief, derechos, selección, compensación fija y evidencia verificable</x:v>
      </x:c>
      <x:c r="V104" s="10" t="str">
        <x:v>Brief, derechos, selección, compensación fija y evidencia verificable</x:v>
      </x:c>
      <x:c r="W104" s="10" t="str">
        <x:v>FORMATO 9:16</x:v>
      </x:c>
      <x:c r="X104" s="10" t="str">
        <x:v>No</x:v>
      </x:c>
      <x:c r="Y104" s="10" t="str">
        <x:f>IF(F104&lt;&gt;"Completada","Sin cierre",IF(OR(H104="",I104=""),"Sin dato",IF(I104&lt;=H104,"A tiempo","Tarde")))</x:f>
        <x:v>A tiempo</x:v>
      </x:c>
      <x:c r="Z104" s="24" t="n">
        <x:f>IF(OR(G104="",H104=""),"",H104-G104)</x:f>
        <x:v>0.3894907407448045</x:v>
      </x:c>
    </x:row>
    <x:row r="105" ht="42" customHeight="1">
      <x:c r="A105" s="10" t="n">
        <x:v>104</x:v>
      </x:c>
      <x:c r="B105" s="10" t="n">
        <x:v>13498</x:v>
      </x:c>
      <x:c r="C105" s="10" t="str">
        <x:v>Periofoneo semana 20 - 27 de octubrez / 27 al 31</x:v>
      </x:c>
      <x:c r="D105" s="10" t="str">
        <x:v>Edwin Masa Sisa (identidad por confirmar)</x:v>
      </x:c>
      <x:c r="E105" s="10" t="str">
        <x:v>Edwin Masa Sisa (identidad por confirmar)</x:v>
      </x:c>
      <x:c r="F105" s="10" t="str">
        <x:v>En progreso</x:v>
      </x:c>
      <x:c r="G105" s="23" t="n">
        <x:v>45950.574212962965</x:v>
      </x:c>
      <x:c r="H105" s="23" t="n">
        <x:v>45961.958333333336</x:v>
      </x:c>
      <x:c r="I105" s="23"/>
      <x:c r="J105" s="10" t="str">
        <x:v>Stalin Flores, Isabela Orozco, Zeus Producciones, Edwin Masa Sisa (identidad por confirmar)</x:v>
      </x:c>
      <x:c r="K105" s="10" t="str"/>
      <x:c r="L105" s="10"/>
      <x:c r="M105" s="10" t="str">
        <x:v>F26-11-ACT</x:v>
      </x:c>
      <x:c r="N105" s="10" t="str">
        <x:v>Activaciones territoriales</x:v>
      </x:c>
      <x:c r="O105" s="10" t="str">
        <x:v>Calle, estadio, perifoneo y alianzas de distribución</x:v>
      </x:c>
      <x:c r="P105" s="10" t="str">
        <x:v>Convertir con control</x:v>
      </x:c>
      <x:c r="Q105" s="10" t="str">
        <x:v>Medio</x:v>
      </x:c>
      <x:c r="R105" s="10" t="str">
        <x:v>Producción — Iván (apellido por confirmar) + comunicación</x:v>
      </x:c>
      <x:c r="S105" s="10" t="str">
        <x:v>Coordinación general + operación/seguridad</x:v>
      </x:c>
      <x:c r="T105" s="10" t="str">
        <x:v>Conversión</x:v>
      </x:c>
      <x:c r="U105" s="10" t="str">
        <x:v>Permisos, ruta, seguridad, materiales y medición definidos</x:v>
      </x:c>
      <x:c r="V105" s="10" t="str">
        <x:v>El cierre histórico no quedó completado. Permisos, ruta, seguridad, materiales y medición definidos</x:v>
      </x:c>
      <x:c r="W105" s="10" t="str">
        <x:v>DESARROLLAR LA ACTIVIDAD DE PERIFONEO EN EL EVENTO DE INGA PALLA EN EL CANTON TISALEO ""VEHICULO INMOBILIARIA " " LUNES A LAS 12H00 A 17H00 - TISALEO INGA PALLA -- AMBATO (1 de Mayo, mercados aledaños) MARTES A LAS 8H00 A 17H00 - TISALEO MIERCOLES 8H00 A18H00 - JUEVES 8H00 A 18H00 - VIERNES 8H00 A 18H00 - Pastaza (Puyo - Tena) SABADO 8H00 A 18H00 - CHIMBORAZO (Riobamba - Cajabamba) DOMINGO 8H00 A 18H00 - "VEHICULO VINICIO FUENTES" LUNES A LAS 12H00 A 17H00 - TISALEO MARTES A LAS 8H00 A 17H00 - TUNGURAHUA MIERCOLES 8H00 A18H00 - COTOPAXI (Latacunga- Pujili- Saquisili- Salcedo) JUEVES 8H00 A 18H00 -CHIMBORAZO ( Colta- Guamote -Riobamba) VIERNES 8H00 A 21H00 - AMBATO - PELILEO- BANOS SABADO 8H00 A 18H00 - BOLIVAR (Guaranda - Chimbo -San Miguel) DOMINGO 8H00 A 18H00 - (Latacunga - Mejia)</x:v>
      </x:c>
      <x:c r="X105" s="10" t="str">
        <x:v>No</x:v>
      </x:c>
      <x:c r="Y105" s="10" t="str">
        <x:f>IF(F105&lt;&gt;"Completada","Sin cierre",IF(OR(H105="",I105=""),"Sin dato",IF(I105&lt;=H105,"A tiempo","Tarde")))</x:f>
        <x:v>Sin cierre</x:v>
      </x:c>
      <x:c r="Z105" s="24" t="n">
        <x:f>IF(OR(G105="",H105=""),"",H105-G105)</x:f>
        <x:v>11.38412037037051</x:v>
      </x:c>
    </x:row>
    <x:row r="106" ht="42" customHeight="1">
      <x:c r="A106" s="10" t="n">
        <x:v>105</x:v>
      </x:c>
      <x:c r="B106" s="10" t="n">
        <x:v>13506</x:v>
      </x:c>
      <x:c r="C106" s="10" t="str">
        <x:v>colocación de amplificación en camioneta de inmobiliaria</x:v>
      </x:c>
      <x:c r="D106" s="10" t="str">
        <x:v>Zeus Producciones</x:v>
      </x:c>
      <x:c r="E106" s="10" t="str">
        <x:v>Zeus Producciones</x:v>
      </x:c>
      <x:c r="F106" s="10" t="str">
        <x:v>Pendiente</x:v>
      </x:c>
      <x:c r="G106" s="23" t="n">
        <x:v>45950.58796296296</x:v>
      </x:c>
      <x:c r="H106" s="23" t="n">
        <x:v>45950.958333333336</x:v>
      </x:c>
      <x:c r="I106" s="23"/>
      <x:c r="J106" s="10" t="str"/>
      <x:c r="K106" s="10" t="str"/>
      <x:c r="L106" s="10" t="n">
        <x:v>13498</x:v>
      </x:c>
      <x:c r="M106" s="10" t="str">
        <x:v>F26-14-OPS</x:v>
      </x:c>
      <x:c r="N106" s="10" t="str">
        <x:v>Operación en sitio</x:v>
      </x:c>
      <x:c r="O106" s="10" t="str">
        <x:v>Credenciales, señalética, pantallas, espacios y materiales</x:v>
      </x:c>
      <x:c r="P106" s="10" t="str">
        <x:v>Convertir con control</x:v>
      </x:c>
      <x:c r="Q106" s="10" t="str">
        <x:v>Medio</x:v>
      </x:c>
      <x:c r="R106" s="10" t="str">
        <x:v>Producción — Iván (apellido por confirmar) + Leo Sailema</x:v>
      </x:c>
      <x:c r="S106" s="10" t="str">
        <x:v>Operación/seguridad + coordinación general</x:v>
      </x:c>
      <x:c r="T106" s="10" t="str">
        <x:v>Preparación final y vivo</x:v>
      </x:c>
      <x:c r="U106" s="10" t="str">
        <x:v>Plano final, inventario, medidas, responsables y prueba de montaje</x:v>
      </x:c>
      <x:c r="V106" s="10" t="str">
        <x:v>El cierre histórico no quedó completado. Plano final, inventario, medidas, responsables y prueba de montaje</x:v>
      </x:c>
      <x:c r="W106" s="10" t="str"/>
      <x:c r="X106" s="10" t="str">
        <x:v>No</x:v>
      </x:c>
      <x:c r="Y106" s="10" t="str">
        <x:f>IF(F106&lt;&gt;"Completada","Sin cierre",IF(OR(H106="",I106=""),"Sin dato",IF(I106&lt;=H106,"A tiempo","Tarde")))</x:f>
        <x:v>Sin cierre</x:v>
      </x:c>
      <x:c r="Z106" s="24" t="n">
        <x:f>IF(OR(G106="",H106=""),"",H106-G106)</x:f>
        <x:v>0.37037037037225673</x:v>
      </x:c>
    </x:row>
    <x:row r="107" ht="42" customHeight="1">
      <x:c r="A107" s="10" t="n">
        <x:v>106</x:v>
      </x:c>
      <x:c r="B107" s="10" t="n">
        <x:v>13500</x:v>
      </x:c>
      <x:c r="C107" s="10" t="str">
        <x:v>POSTEO INFORMATIVOS FERIA</x:v>
      </x:c>
      <x:c r="D107" s="10" t="str">
        <x:v>Edwin Naula</x:v>
      </x:c>
      <x:c r="E107" s="10" t="str">
        <x:v>Pam Villa</x:v>
      </x:c>
      <x:c r="F107" s="10" t="str">
        <x:v>Pendiente</x:v>
      </x:c>
      <x:c r="G107" s="23" t="n">
        <x:v>45950.578414351854</x:v>
      </x:c>
      <x:c r="H107" s="23" t="n">
        <x:v>45959.979166666664</x:v>
      </x:c>
      <x:c r="I107" s="23"/>
      <x:c r="J107" s="10" t="str">
        <x:v>Pam Villa, Valery Paredes, Diego Flores (grafía por confirmar)</x:v>
      </x:c>
      <x:c r="K107" s="10" t="str">
        <x:v>FinadosMushucRuna</x:v>
      </x:c>
      <x:c r="L107" s="10"/>
      <x:c r="M107" s="10" t="str">
        <x:v>F26-13-SERV</x:v>
      </x:c>
      <x:c r="N107" s="10" t="str">
        <x:v>Servicio, movilidad e información</x:v>
      </x:c>
      <x:c r="O107" s="10" t="str">
        <x:v>Mapa, guía móvil, accesos, parqueaderos, transporte y FAQ</x:v>
      </x:c>
      <x:c r="P107" s="10" t="str">
        <x:v>Convertir con control</x:v>
      </x:c>
      <x:c r="Q107" s="10" t="str">
        <x:v>Alto</x:v>
      </x:c>
      <x:c r="R107" s="10" t="str">
        <x:v>Operación/servicio + tecnología — por asignar</x:v>
      </x:c>
      <x:c r="S107" s="10" t="str">
        <x:v>Operación + seguridad + dirección</x:v>
      </x:c>
      <x:c r="T107" s="10" t="str">
        <x:v>Conversión y vivo</x:v>
      </x:c>
      <x:c r="U107" s="10" t="str">
        <x:v>Plano, capacidades, rutas, políticas y responsables validados</x:v>
      </x:c>
      <x:c r="V107" s="10" t="str">
        <x:v>El cierre histórico no quedó completado. Plano, capacidades, rutas, políticas y responsables validados</x:v>
      </x:c>
      <x:c r="W107" s="10" t="str">
        <x:v>se requieren posteos informativos sobre el método de pago, ingresos, accesos al complejo, horarios, recomendaciones POST 1 RECOMENDACIONES PARA LAS NOCHES DE CONCIERTOS (ÍCONOS) Valery Paredes - NO SE PERMITE EL INGRESO DE: CORREAS, MOCHILAS, BOTELLAS DE VIDRIO NI OBJETOS PUNZANTES - LAS PUERTAS DEL MEGAESCENARIO SE APERTURAN A LAS 17H00 - COMPRA TUS BOLETOS A TIEMPO EN LOS PUNTOS AUTORIZADOS - SIGUE LAS INDICACIONES DEL PERSONAL Y SEGURIDAD - LLEGA CON TIEMPO PARA EVITAR AGLOMERACIONES - TEN A LA MANO TU ENTRADA DIGITAL O FÍSICA - DISFRUTA Y COMPARTE TUS POST Y VIDEOS CON EL HASHTAG #FinadosMushucRuna POST 2 RECOMENDACIONES PARA VISITAR FINADOS MUSHUC RUNA Valery Paredes - USA ROPA CÓMODA - LLEGA TEMPRANO Y APROVECHA TODO - USA PROTECTOR SOLAR - MANTENTE HIDRATADO - PRUEBA LA GASTRONOMÍA LOCAL - USA MUSHUC PAY - DISFRUTA, CAPTURA TUS MOMENTOS Y POSTEALOS EN REDES CON EL #FinadosMushucRuna - SIGUE LAS INDICACIONES DEL PERSONAL REFERENCIA POST 3 EDWIN NAULA APERTURA DE PUERTAS DE LA FERIA DE FINADOS MÁS GRANDE DEL ECUADOR DESDE EL VIERNES 31 DE OCTUBRE AL 4 DE NOVIEMBRE | 10H00 COMPLEJO MUSHUC RUNA AQUÍ UNA REFERENCIA POST 4: ESTACIONAMIENTOS / PARQUEADEROS Diegu Flores ¡VEN TRANQUILO! PARQUEADEROS SEGUROS DISFRUTA DE LA FERIA SIN PREOCUPACIONES (VER LA POSIBILIDAD DE QUE SE PUEDA ESPECIFICAR POR DÓNDE QUEDAN, 1 CAMINO REAL Y 2 PANAMERICANA POST 5: TRANSPORTE SEGURO Diegu Flores POST 6: APP OFICIAL Valery Paredes ¡NO OLVIDES DESCARGAR MUSHUC PAY! PAGA FÁCIL, RÁPIDO Y SEGURO DENTRO DE LA FERIA POST 7: Valery Paredes ¡UBICA TU ACCESO! (MAPA DEL MEGA ESCENARIO) INGRESOS VIP, GENERAL Y ARENA PRIORIZAR BOLETERÍAS POST 8 Diegu Flores MAPA OFICIAL DE FERIA RESALTAR: PLAZA DE LA LUNA - PLAZA DEL SOL - MEGAESCENARIO - PATIO DE COMIDAS - JUEGOS TRADICIONALES ¡DESCUBRE DÓNDE ESTÁ LA DIVERSIÓN! MIRA EL MAPA Y PLANEA TU RECORRIDO POR LA FERIA POST 9 ¡COMPRA TUS BOLETOS EN LA FERIA! FOTO DE BOLETERÍAS DEL MEGA ESCENARIO POST 10 Diegu Flores ¡ÉXITO TOTAL! GRACIAS ECUADOR, JUNTOS HICIMOS QUE LA TRADICIÓN COBRARA VIDA EN CADA RINCÓN DE LA FERIA POST 11 Valery Paredes CAJEROS AUTOMÁTICOS ¡RETIRA TU EFECTIVO SIN SALIR DE LA FERIA! CAJEROS AUTOMÁTICOS DISPONIBLES PARA QUE DISFRUTES, COMPRES Y VIVAS LA FIESTA SIN PREOCUPARTE. POST 12 Diegu Flores INDICACIONES DE BOLETOS SI COMPRASTE TUS ENTRADAS EN LÍNEA, SOLO PRESENTA TU CÓDIGO DIGITAL Y... ¡LISTO! PREPÁRATE PARA DISFRUTAR DE LOS MEJORES CONCIERTOS DE FINADOS MUSHUC RUNA 2025 POST 13: VASOS DE COLADA MORADA Valery Paredes MAÑANA, 25 MIL VASOS DE COLADA MORADA ¡NO TE QUEDES SIN TU SABOR DE TRADICIÓN, VEN Y DISFRUTA CON NOSOTROS! POST 14: Diegu Flores CONVERSANDO CON EL ARTISTA (RUEDAS DE PRENSA) - ADRIANA LUCÍA - DINA PAUCAR Y FRANCO ROJAS - AMAR AZUL POST 15: Valery Paredes STORIE ¿QUÉ ES LO QUE VISITARÁS PRIMERO? - PLAZA DEL SOL - PLAZA DE LA LUNA - PATIO DE COMIDAS - GRANJA TURÍSTICA - JUEGOS MECÁNICOS - OTROS POST 16: TRANSPORTE SEGURO Diegu Flores ¡MOVILÍZATE SEGURO Y DISFRUTA DE FINADOS MUSHUC RUNA! INFO: HORAS Y RUTAS POST 17: ¡PORQUE LA FERIA ES PARA TODOS! Valery Paredes VEN CON LOS TUYOS A DISFRUTAR DE LA TRADICIÓN. (foto familiar y fechas de feria) POST 18: ¡LA FERIA TAMBIÉN ES UN ESPACIO PARA CRECER! - EMPRENDEDORES, MARCAS Y EMPRESAS TE ESPERAN CON IDEAS Y OPORTUNIDADES. Valery Paredes POST 19 Diegu Flores ¡LLEGA DIRECTO A FINADOS MUSHUC RUNA! ESCANEA EL CÓDIGO Y CON CUALQUIER APP WASE GOOGLE MAPS PONER UN QR POST 20: Valery Paredes SORTEO DE ENTRADAS Y PASES VIP MUSHUC LIVE LUNES 27 DE OCTUBRE SEÑAL MUSHUC TV POST 21: ¡SEGURIDAD GARANTIZADA! Valery Paredes SEGURIDAD PRIVADA COMUNITARIA POLICÍA NACIONAL Y FUERZAS ARMADAS POST 22: Diegu Flores INAUGURACIÓN VIERENES 31 DE OCTUBRE 12H00 POST 21: ¡HOY INICIA LA FERIA MÁS GRANDE DE NOVIEMBRE! Diegu Flores FINADOS MUSHUC RUNA YA ESTÁ AQUÍ CON MÚSICA, COMIDA, SHOWS, JUEGOS, TRADICIÓN Y PURA DIVERSIÓN PARA TODA LA FAMILIA. INAUGURACIÓN: 12H00 POSTEOS DE FERIA: Valery Paredes DÍA 2 DE FERIA DÍA 3 DE FERIA DÍA 4 DE FERIA ÚLTIMO DÍA DE FERIA</x:v>
      </x:c>
      <x:c r="X107" s="10" t="str">
        <x:v>No</x:v>
      </x:c>
      <x:c r="Y107" s="10" t="str">
        <x:f>IF(F107&lt;&gt;"Completada","Sin cierre",IF(OR(H107="",I107=""),"Sin dato",IF(I107&lt;=H107,"A tiempo","Tarde")))</x:f>
        <x:v>Sin cierre</x:v>
      </x:c>
      <x:c r="Z107" s="24" t="n">
        <x:f>IF(OR(G107="",H107=""),"",H107-G107)</x:f>
        <x:v>9.400752314810234</x:v>
      </x:c>
    </x:row>
    <x:row r="108" ht="42" customHeight="1">
      <x:c r="A108" s="10" t="n">
        <x:v>107</x:v>
      </x:c>
      <x:c r="B108" s="10" t="n">
        <x:v>13502</x:v>
      </x:c>
      <x:c r="C108" s="10" t="str">
        <x:v>POSTEO ATRACTIVOS, FERIA Y ZONAS</x:v>
      </x:c>
      <x:c r="D108" s="10" t="str">
        <x:v>Edwin Naula</x:v>
      </x:c>
      <x:c r="E108" s="10" t="str">
        <x:v>Edwin Naula</x:v>
      </x:c>
      <x:c r="F108" s="10" t="str">
        <x:v>Completada</x:v>
      </x:c>
      <x:c r="G108" s="23" t="n">
        <x:v>45950.582719907405</x:v>
      </x:c>
      <x:c r="H108" s="23" t="n">
        <x:v>45950.958333333336</x:v>
      </x:c>
      <x:c r="I108" s="23" t="n">
        <x:v>45950.951157407406</x:v>
      </x:c>
      <x:c r="J108" s="10" t="str">
        <x:v>Pam Villa, Stalin Flores</x:v>
      </x:c>
      <x:c r="K108" s="10" t="str"/>
      <x:c r="L108" s="10"/>
      <x:c r="M108" s="10" t="str">
        <x:v>F26-04-EXP</x:v>
      </x:c>
      <x:c r="N108" s="10" t="str">
        <x:v>Expositores y comercialización</x:v>
      </x:c>
      <x:c r="O108" s="10" t="str">
        <x:v>Stands, expositores y narrativa comercial</x:v>
      </x:c>
      <x:c r="P108" s="10" t="str">
        <x:v>Consolidar en paquete 2026</x:v>
      </x:c>
      <x:c r="Q108" s="10" t="str">
        <x:v>Medio</x:v>
      </x:c>
      <x:c r="R108" s="10" t="str">
        <x:v>Dueño de expositores — por asignar</x:v>
      </x:c>
      <x:c r="S108" s="10" t="str">
        <x:v>Dirección/comercial + operación</x:v>
      </x:c>
      <x:c r="T108" s="10" t="str">
        <x:v>Revelación y preventa</x:v>
      </x:c>
      <x:c r="U108" s="10" t="str">
        <x:v>Inventario, precios, políticas y capacidad aprobados</x:v>
      </x:c>
      <x:c r="V108" s="10" t="str">
        <x:v>Evitar microtareas ad hoc; trabajar desde un brief, plantilla, dueño y fecha de aprobación.</x:v>
      </x:c>
      <x:c r="W108" s="10" t="str">
        <x:v>se requiere el post 9:16 y 4:5 con los principales atractivos, feria, emprendedores y zonas como la referencia inicial con el CTA Visitar la feria</x:v>
      </x:c>
      <x:c r="X108" s="10" t="str">
        <x:v>No</x:v>
      </x:c>
      <x:c r="Y108" s="10" t="str">
        <x:f>IF(F108&lt;&gt;"Completada","Sin cierre",IF(OR(H108="",I108=""),"Sin dato",IF(I108&lt;=H108,"A tiempo","Tarde")))</x:f>
        <x:v>A tiempo</x:v>
      </x:c>
      <x:c r="Z108" s="24" t="n">
        <x:f>IF(OR(G108="",H108=""),"",H108-G108)</x:f>
        <x:v>0.3756134259310784</x:v>
      </x:c>
    </x:row>
    <x:row r="109" ht="42" customHeight="1">
      <x:c r="A109" s="10" t="n">
        <x:v>108</x:v>
      </x:c>
      <x:c r="B109" s="10" t="n">
        <x:v>13504</x:v>
      </x:c>
      <x:c r="C109" s="10" t="str">
        <x:v>REVISIÓN DE CRONOPOST PARA TRABAJO SEMANA 20-26 OCT</x:v>
      </x:c>
      <x:c r="D109" s="10" t="str">
        <x:v>Edwin Naula</x:v>
      </x:c>
      <x:c r="E109" s="10" t="str">
        <x:v>Edwin Naula</x:v>
      </x:c>
      <x:c r="F109" s="10" t="str">
        <x:v>Completada</x:v>
      </x:c>
      <x:c r="G109" s="23" t="n">
        <x:v>45950.5841087963</x:v>
      </x:c>
      <x:c r="H109" s="23" t="n">
        <x:v>45950.958333333336</x:v>
      </x:c>
      <x:c r="I109" s="23" t="n">
        <x:v>45950.7003125</x:v>
      </x:c>
      <x:c r="J109" s="10" t="str">
        <x:v>Pam Villa</x:v>
      </x:c>
      <x:c r="K109" s="10" t="str"/>
      <x:c r="L109" s="10"/>
      <x:c r="M109" s="10" t="str">
        <x:v>F26-01-GOB</x:v>
      </x:c>
      <x:c r="N109" s="10" t="str">
        <x:v>Dirección y control</x:v>
      </x:c>
      <x:c r="O109" s="10" t="str">
        <x:v>Gobierno, planificación y aprobaciones</x:v>
      </x:c>
      <x:c r="P109" s="10" t="str">
        <x:v>Consolidar en paquete 2026</x:v>
      </x:c>
      <x:c r="Q109" s="10" t="str">
        <x:v>Medio</x:v>
      </x:c>
      <x:c r="R109" s="10" t="str">
        <x:v>Coordinación general de marketing — Edwin Masabanda</x:v>
      </x:c>
      <x:c r="S109" s="10" t="str">
        <x:v>Dirección de marketing — Andrés Naranjo</x:v>
      </x:c>
      <x:c r="T109" s="10" t="str">
        <x:v>Preparación interna</x:v>
      </x:c>
      <x:c r="U109" s="10" t="str">
        <x:v>RACI ratificado, fecha confirmada y fuente única vigente</x:v>
      </x:c>
      <x:c r="V109" s="10" t="str">
        <x:v>Evitar microtareas ad hoc; trabajar desde un brief, plantilla, dueño y fecha de aprobación.</x:v>
      </x:c>
      <x:c r="W109" s="10" t="str"/>
      <x:c r="X109" s="10" t="str">
        <x:v>No</x:v>
      </x:c>
      <x:c r="Y109" s="10" t="str">
        <x:f>IF(F109&lt;&gt;"Completada","Sin cierre",IF(OR(H109="",I109=""),"Sin dato",IF(I109&lt;=H109,"A tiempo","Tarde")))</x:f>
        <x:v>A tiempo</x:v>
      </x:c>
      <x:c r="Z109" s="24" t="n">
        <x:f>IF(OR(G109="",H109=""),"",H109-G109)</x:f>
        <x:v>0.37422453703766223</x:v>
      </x:c>
    </x:row>
    <x:row r="110" ht="42" customHeight="1">
      <x:c r="A110" s="10" t="n">
        <x:v>109</x:v>
      </x:c>
      <x:c r="B110" s="10" t="n">
        <x:v>13508</x:v>
      </x:c>
      <x:c r="C110" s="10" t="str">
        <x:v>VIDEO 6 SEGS YOUTUBE</x:v>
      </x:c>
      <x:c r="D110" s="10" t="str">
        <x:v>Edwin Naula</x:v>
      </x:c>
      <x:c r="E110" s="10" t="str">
        <x:v>Edwin Naula</x:v>
      </x:c>
      <x:c r="F110" s="10" t="str">
        <x:v>Completada</x:v>
      </x:c>
      <x:c r="G110" s="23" t="n">
        <x:v>45950.59253472222</x:v>
      </x:c>
      <x:c r="H110" s="23" t="n">
        <x:v>45957.958333333336</x:v>
      </x:c>
      <x:c r="I110" s="23" t="n">
        <x:v>45957.97758101852</x:v>
      </x:c>
      <x:c r="J110" s="10" t="str">
        <x:v>Edwin Naula, Stalin Loaiza</x:v>
      </x:c>
      <x:c r="K110" s="10" t="str"/>
      <x:c r="L110" s="10"/>
      <x:c r="M110" s="10" t="str">
        <x:v>F26-15-PAID</x:v>
      </x:c>
      <x:c r="N110" s="10" t="str">
        <x:v>Pauta y medición</x:v>
      </x:c>
      <x:c r="O110" s="10" t="str">
        <x:v>Pauta social, tracking, audiencias y optimización</x:v>
      </x:c>
      <x:c r="P110" s="10" t="str">
        <x:v>Convertir con control</x:v>
      </x:c>
      <x:c r="Q110" s="10" t="str">
        <x:v>Alto</x:v>
      </x:c>
      <x:c r="R110" s="10" t="str">
        <x:v>Media buyer — vacante crítica</x:v>
      </x:c>
      <x:c r="S110" s="10" t="str">
        <x:v>Dirección de marketing + finanzas</x:v>
      </x:c>
      <x:c r="T110" s="10" t="str">
        <x:v>Expectativa a conversión</x:v>
      </x:c>
      <x:c r="U110" s="10" t="str">
        <x:v>Destino seguro, eventos medidos, UTMs, presupuesto y compra de prueba</x:v>
      </x:c>
      <x:c r="V110" s="10" t="str">
        <x:v>Destino seguro, eventos medidos, UTMs, presupuesto y compra de prueba</x:v>
      </x:c>
      <x:c r="W110" s="10" t="str">
        <x:v>Video de shows por día en 6 segundos para YouTube y google ads</x:v>
      </x:c>
      <x:c r="X110" s="10" t="str">
        <x:v>No</x:v>
      </x:c>
      <x:c r="Y110" s="10" t="str">
        <x:f>IF(F110&lt;&gt;"Completada","Sin cierre",IF(OR(H110="",I110=""),"Sin dato",IF(I110&lt;=H110,"A tiempo","Tarde")))</x:f>
        <x:v>Tarde</x:v>
      </x:c>
      <x:c r="Z110" s="24" t="n">
        <x:f>IF(OR(G110="",H110=""),"",H110-G110)</x:f>
        <x:v>7.36579861111386</x:v>
      </x:c>
    </x:row>
    <x:row r="111" ht="42" customHeight="1">
      <x:c r="A111" s="10" t="n">
        <x:v>110</x:v>
      </x:c>
      <x:c r="B111" s="10" t="n">
        <x:v>13510</x:v>
      </x:c>
      <x:c r="C111" s="10" t="str">
        <x:v>REEL BELEN SHOW SUREÑO</x:v>
      </x:c>
      <x:c r="D111" s="10" t="str">
        <x:v>Edwin Naula</x:v>
      </x:c>
      <x:c r="E111" s="10" t="str">
        <x:v>Edwin Naula</x:v>
      </x:c>
      <x:c r="F111" s="10" t="str">
        <x:v>Completada</x:v>
      </x:c>
      <x:c r="G111" s="23" t="n">
        <x:v>45950.59756944444</x:v>
      </x:c>
      <x:c r="H111" s="23" t="n">
        <x:v>45951.979166666664</x:v>
      </x:c>
      <x:c r="I111" s="23" t="n">
        <x:v>45951.89209490741</x:v>
      </x:c>
      <x:c r="J111" s="10" t="str">
        <x:v>Pam Villa</x:v>
      </x:c>
      <x:c r="K111" s="10" t="str"/>
      <x:c r="L111" s="10"/>
      <x:c r="M111" s="10" t="str">
        <x:v>F26-07-SHOW</x:v>
      </x:c>
      <x:c r="N111" s="10" t="str">
        <x:v>Programación y marketing</x:v>
      </x:c>
      <x:c r="O111" s="10" t="str">
        <x:v>Shows, artistas y programación bajo embargo</x:v>
      </x:c>
      <x:c r="P111" s="10" t="str">
        <x:v>Convertir con control</x:v>
      </x:c>
      <x:c r="Q111" s="10" t="str">
        <x:v>Alto</x:v>
      </x:c>
      <x:c r="R111" s="10" t="str">
        <x:v>Programación + coordinación comunicación</x:v>
      </x:c>
      <x:c r="S111" s="10" t="str">
        <x:v>Dirección + programación + derechos</x:v>
      </x:c>
      <x:c r="T111" s="10" t="str">
        <x:v>Revelación y conversión</x:v>
      </x:c>
      <x:c r="U111" s="10" t="str">
        <x:v>Contrato, grafía, día, horario, derechos, embargo y oferta confirmados</x:v>
      </x:c>
      <x:c r="V111" s="10" t="str">
        <x:v>Contrato, grafía, día, horario, derechos, embargo y oferta confirmados</x:v>
      </x:c>
      <x:c r="W111" s="10" t="str">
        <x:v>Reel 9:16 música sureña con belen en el complejo</x:v>
      </x:c>
      <x:c r="X111" s="10" t="str">
        <x:v>No</x:v>
      </x:c>
      <x:c r="Y111" s="10" t="str">
        <x:f>IF(F111&lt;&gt;"Completada","Sin cierre",IF(OR(H111="",I111=""),"Sin dato",IF(I111&lt;=H111,"A tiempo","Tarde")))</x:f>
        <x:v>A tiempo</x:v>
      </x:c>
      <x:c r="Z111" s="24" t="n">
        <x:f>IF(OR(G111="",H111=""),"",H111-G111)</x:f>
        <x:v>1.3815972222218988</x:v>
      </x:c>
    </x:row>
    <x:row r="112" ht="42" customHeight="1">
      <x:c r="A112" s="10" t="n">
        <x:v>111</x:v>
      </x:c>
      <x:c r="B112" s="10" t="n">
        <x:v>13512</x:v>
      </x:c>
      <x:c r="C112" s="10" t="str">
        <x:v>POSTEO Influencers</x:v>
      </x:c>
      <x:c r="D112" s="10" t="str">
        <x:v>Edwin Naula</x:v>
      </x:c>
      <x:c r="E112" s="10" t="str">
        <x:v>Edwin Naula</x:v>
      </x:c>
      <x:c r="F112" s="10" t="str">
        <x:v>Completada</x:v>
      </x:c>
      <x:c r="G112" s="23" t="n">
        <x:v>45950.60329861111</x:v>
      </x:c>
      <x:c r="H112" s="23" t="n">
        <x:v>45959.979166666664</x:v>
      </x:c>
      <x:c r="I112" s="23" t="n">
        <x:v>45959.98363425926</x:v>
      </x:c>
      <x:c r="J112" s="10" t="str">
        <x:v>Alex Naranjo, Pam Villa, Diego Flores (grafía por confirmar), Isabela Orozco, Sonia Estrella</x:v>
      </x:c>
      <x:c r="K112" s="10" t="str"/>
      <x:c r="L112" s="10"/>
      <x:c r="M112" s="10" t="str">
        <x:v>F26-09-CREA</x:v>
      </x:c>
      <x:c r="N112" s="10" t="str">
        <x:v>Creadores y comunidad</x:v>
      </x:c>
      <x:c r="O112" s="10" t="str">
        <x:v>Influencers, embajadores y referidos</x:v>
      </x:c>
      <x:c r="P112" s="10" t="str">
        <x:v>Convertir con control</x:v>
      </x:c>
      <x:c r="Q112" s="10" t="str">
        <x:v>Medio</x:v>
      </x:c>
      <x:c r="R112" s="10" t="str">
        <x:v>Coordinación comunicación + relaciones públicas</x:v>
      </x:c>
      <x:c r="S112" s="10" t="str">
        <x:v>Dirección de marketing + legal/finanzas cuando aplique</x:v>
      </x:c>
      <x:c r="T112" s="10" t="str">
        <x:v>Expectativa y conversión</x:v>
      </x:c>
      <x:c r="U112" s="10" t="str">
        <x:v>Brief, derechos, selección, compensación fija y evidencia verificable</x:v>
      </x:c>
      <x:c r="V112" s="10" t="str">
        <x:v>Brief, derechos, selección, compensación fija y evidencia verificable</x:v>
      </x:c>
      <x:c r="W112" s="10" t="str">
        <x:v>Participación de creadores de contenido Motivar que creen contenido, networking influencers, recomendación Activación “¿Quieres ser parte de esta feria?” de lunes a miércoles. Golden Box Enfoque colaborativo: invitar a microinfluencers y creadores a formar parte del evento. Uso de formulario de registro con opciones de exposición o participación gratuita (modelo escalonado). Incentivo: quienes se inscriban participan por una entrada general gratuita y posible selección como voceros del evento. PUEDEN SER UN SLOGAN O FRASE SIMILAR A: "Tradición que se viraliza" "Finados Mushuc Runa, La tradición se hace tendencia" *Premio al mayor alcance* SOUVENIRS - DISEÑO Gafete - DISEÑO Camiseta Influencer - Pases RESBALADERA GIGANTE - Pase PARQUE DINOSAURIOS - Licores pequeño - GORRAS complejo INFO: [URL OMITIDA]</x:v>
      </x:c>
      <x:c r="X112" s="10" t="str">
        <x:v>Sí</x:v>
      </x:c>
      <x:c r="Y112" s="10" t="str">
        <x:f>IF(F112&lt;&gt;"Completada","Sin cierre",IF(OR(H112="",I112=""),"Sin dato",IF(I112&lt;=H112,"A tiempo","Tarde")))</x:f>
        <x:v>Tarde</x:v>
      </x:c>
      <x:c r="Z112" s="24" t="n">
        <x:f>IF(OR(G112="",H112=""),"",H112-G112)</x:f>
        <x:v>9.375868055554747</x:v>
      </x:c>
    </x:row>
    <x:row r="113" ht="42" customHeight="1">
      <x:c r="A113" s="10" t="n">
        <x:v>112</x:v>
      </x:c>
      <x:c r="B113" s="10" t="n">
        <x:v>13514</x:v>
      </x:c>
      <x:c r="C113" s="10" t="str">
        <x:v>Casa de la Cultura atractivos</x:v>
      </x:c>
      <x:c r="D113" s="10" t="str">
        <x:v>Edwin Naula</x:v>
      </x:c>
      <x:c r="E113" s="10" t="str">
        <x:v>Edwin Naula</x:v>
      </x:c>
      <x:c r="F113" s="10" t="str">
        <x:v>Completada</x:v>
      </x:c>
      <x:c r="G113" s="23" t="n">
        <x:v>45950.606203703705</x:v>
      </x:c>
      <x:c r="H113" s="23" t="n">
        <x:v>45957.979166666664</x:v>
      </x:c>
      <x:c r="I113" s="23" t="n">
        <x:v>45957.52961805555</x:v>
      </x:c>
      <x:c r="J113" s="10" t="str">
        <x:v>Pam Villa, Edwin Naula, Stalin Loaiza</x:v>
      </x:c>
      <x:c r="K113" s="10" t="str"/>
      <x:c r="L113" s="10"/>
      <x:c r="M113" s="10" t="str">
        <x:v>F26-12-AV</x:v>
      </x:c>
      <x:c r="N113" s="10" t="str">
        <x:v>Producción audiovisual</x:v>
      </x:c>
      <x:c r="O113" s="10" t="str">
        <x:v>Rodajes, entrevistas, streaming y entregables</x:v>
      </x:c>
      <x:c r="P113" s="10" t="str">
        <x:v>Convertir con control</x:v>
      </x:c>
      <x:c r="Q113" s="10" t="str">
        <x:v>Medio</x:v>
      </x:c>
      <x:c r="R113" s="10" t="str">
        <x:v>Coordinación diseño/audiovisual — Andrés Naula</x:v>
      </x:c>
      <x:c r="S113" s="10" t="str">
        <x:v>Coordinación general + dirección de marketing</x:v>
      </x:c>
      <x:c r="T113" s="10" t="str">
        <x:v>Expectativa, conversión y vivo</x:v>
      </x:c>
      <x:c r="U113" s="10" t="str">
        <x:v>Guion, derechos, agenda, scouting, equipo y plan técnico aprobados</x:v>
      </x:c>
      <x:c r="V113" s="10" t="str">
        <x:v>Guion, derechos, agenda, scouting, equipo y plan técnico aprobados</x:v>
      </x:c>
      <x:c r="W113" s="10" t="str">
        <x:v>Revisar la disponibilidad de los artistas para grabación de reels pormocionale splaza del sol y la luna</x:v>
      </x:c>
      <x:c r="X113" s="10" t="str">
        <x:v>No</x:v>
      </x:c>
      <x:c r="Y113" s="10" t="str">
        <x:f>IF(F113&lt;&gt;"Completada","Sin cierre",IF(OR(H113="",I113=""),"Sin dato",IF(I113&lt;=H113,"A tiempo","Tarde")))</x:f>
        <x:v>A tiempo</x:v>
      </x:c>
      <x:c r="Z113" s="24" t="n">
        <x:f>IF(OR(G113="",H113=""),"",H113-G113)</x:f>
        <x:v>7.372962962959718</x:v>
      </x:c>
    </x:row>
    <x:row r="114" ht="42" customHeight="1">
      <x:c r="A114" s="10" t="n">
        <x:v>113</x:v>
      </x:c>
      <x:c r="B114" s="10" t="n">
        <x:v>13516</x:v>
      </x:c>
      <x:c r="C114" s="10" t="str">
        <x:v>Gestión de giras de medios para los jefes de agencia</x:v>
      </x:c>
      <x:c r="D114" s="10" t="str">
        <x:v>Edwin Masa Sisa (identidad por confirmar)</x:v>
      </x:c>
      <x:c r="E114" s="10" t="str">
        <x:v>Isabela Orozco</x:v>
      </x:c>
      <x:c r="F114" s="10" t="str">
        <x:v>Completada</x:v>
      </x:c>
      <x:c r="G114" s="23" t="n">
        <x:v>45950.605</x:v>
      </x:c>
      <x:c r="H114" s="23" t="n">
        <x:v>45954.958333333336</x:v>
      </x:c>
      <x:c r="I114" s="23" t="n">
        <x:v>45952.93096064815</x:v>
      </x:c>
      <x:c r="J114" s="10" t="str">
        <x:v>Alex Naranjo, Luis Lara, Pam Villa, Valery Paredes, Edwin Masa Sisa (identidad por confirmar), Stalin Loaiza</x:v>
      </x:c>
      <x:c r="K114" s="10" t="str"/>
      <x:c r="L114" s="10"/>
      <x:c r="M114" s="10" t="str">
        <x:v>F26-10-PR</x:v>
      </x:c>
      <x:c r="N114" s="10" t="str">
        <x:v>Relaciones públicas</x:v>
      </x:c>
      <x:c r="O114" s="10" t="str">
        <x:v>Prensa, radios, giras y vocerías</x:v>
      </x:c>
      <x:c r="P114" s="10" t="str">
        <x:v>Convertir con control</x:v>
      </x:c>
      <x:c r="Q114" s="10" t="str">
        <x:v>Medio</x:v>
      </x:c>
      <x:c r="R114" s="10" t="str">
        <x:v>Relaciones públicas — Are Morales</x:v>
      </x:c>
      <x:c r="S114" s="10" t="str">
        <x:v>Dirección + vocero autorizado</x:v>
      </x:c>
      <x:c r="T114" s="10" t="str">
        <x:v>Revelación y conversión</x:v>
      </x:c>
      <x:c r="U114" s="10" t="str">
        <x:v>Mensajes, agenda, vocero, ficha factual y monitoreo aprobados</x:v>
      </x:c>
      <x:c r="V114" s="10" t="str">
        <x:v>Mensajes, agenda, vocero, ficha factual y monitoreo aprobados</x:v>
      </x:c>
      <x:c r="W114" s="10" t="str">
        <x:v>Gestión y control de las giras de medios en cada una de las agencias de Mushuc Runa</x:v>
      </x:c>
      <x:c r="X114" s="10" t="str">
        <x:v>No</x:v>
      </x:c>
      <x:c r="Y114" s="10" t="str">
        <x:f>IF(F114&lt;&gt;"Completada","Sin cierre",IF(OR(H114="",I114=""),"Sin dato",IF(I114&lt;=H114,"A tiempo","Tarde")))</x:f>
        <x:v>A tiempo</x:v>
      </x:c>
      <x:c r="Z114" s="24" t="n">
        <x:f>IF(OR(G114="",H114=""),"",H114-G114)</x:f>
        <x:v>4.353333333332557</x:v>
      </x:c>
    </x:row>
    <x:row r="115" ht="42" customHeight="1">
      <x:c r="A115" s="10" t="n">
        <x:v>114</x:v>
      </x:c>
      <x:c r="B115" s="10" t="n">
        <x:v>13518</x:v>
      </x:c>
      <x:c r="C115" s="10" t="str">
        <x:v>ARTE POSTEOS MARTES 04 NOV. ACTUALIZAR</x:v>
      </x:c>
      <x:c r="D115" s="10" t="str">
        <x:v>Edwin Naula</x:v>
      </x:c>
      <x:c r="E115" s="10" t="str">
        <x:v>Edwin Naula</x:v>
      </x:c>
      <x:c r="F115" s="10" t="str">
        <x:v>Completada</x:v>
      </x:c>
      <x:c r="G115" s="23" t="n">
        <x:v>45950.613171296296</x:v>
      </x:c>
      <x:c r="H115" s="23" t="n">
        <x:v>45950.979166666664</x:v>
      </x:c>
      <x:c r="I115" s="23" t="n">
        <x:v>45950.96114583333</x:v>
      </x:c>
      <x:c r="J115" s="10" t="str">
        <x:v>Pam Villa, Stalin Flores</x:v>
      </x:c>
      <x:c r="K115" s="10" t="str"/>
      <x:c r="L115" s="10"/>
      <x:c r="M115" s="10" t="str">
        <x:v>F26-02-MARCA</x:v>
      </x:c>
      <x:c r="N115" s="10" t="str">
        <x:v>Marca y creatividad</x:v>
      </x:c>
      <x:c r="O115" s="10" t="str">
        <x:v>Sistema visual y adaptaciones maestras</x:v>
      </x:c>
      <x:c r="P115" s="10" t="str">
        <x:v>Consolidar en paquete 2026</x:v>
      </x:c>
      <x:c r="Q115" s="10" t="str">
        <x:v>Medio</x:v>
      </x:c>
      <x:c r="R115" s="10" t="str">
        <x:v>Coordinación diseño/audiovisual — Andrés Naula</x:v>
      </x:c>
      <x:c r="S115" s="10" t="str">
        <x:v>Dirección de marketing + aprobación cultural/marca</x:v>
      </x:c>
      <x:c r="T115" s="10" t="str">
        <x:v>Preparación interna</x:v>
      </x:c>
      <x:c r="U115" s="10" t="str">
        <x:v>Plataforma ES TRADICIÓN y key visual aprobados</x:v>
      </x:c>
      <x:c r="V115" s="10" t="str">
        <x:v>Evitar microtareas ad hoc; trabajar desde un brief, plantilla, dueño y fecha de aprobación.</x:v>
      </x:c>
      <x:c r="W115" s="10" t="str">
        <x:v>Actualizar la información en el mega escenario y plaza de la luna - MEGAESCENARIO AÑADIR A JOHN VALVERDE - PLAZA DE LA LUNA AÑADIR A DON MEDARDO</x:v>
      </x:c>
      <x:c r="X115" s="10" t="str">
        <x:v>No</x:v>
      </x:c>
      <x:c r="Y115" s="10" t="str">
        <x:f>IF(F115&lt;&gt;"Completada","Sin cierre",IF(OR(H115="",I115=""),"Sin dato",IF(I115&lt;=H115,"A tiempo","Tarde")))</x:f>
        <x:v>A tiempo</x:v>
      </x:c>
      <x:c r="Z115" s="24" t="n">
        <x:f>IF(OR(G115="",H115=""),"",H115-G115)</x:f>
        <x:v>0.3659953703681822</x:v>
      </x:c>
    </x:row>
    <x:row r="116" ht="42" customHeight="1">
      <x:c r="A116" s="10" t="n">
        <x:v>115</x:v>
      </x:c>
      <x:c r="B116" s="10" t="n">
        <x:v>13520</x:v>
      </x:c>
      <x:c r="C116" s="10" t="str">
        <x:v>GENERACION DE ACTIVACIONES EN EVENTOS</x:v>
      </x:c>
      <x:c r="D116" s="10" t="str">
        <x:v>Stalin Loaiza</x:v>
      </x:c>
      <x:c r="E116" s="10" t="str">
        <x:v>Edwin Masa Sisa (identidad por confirmar)</x:v>
      </x:c>
      <x:c r="F116" s="10" t="str">
        <x:v>Completada</x:v>
      </x:c>
      <x:c r="G116" s="23" t="n">
        <x:v>45950.61467592593</x:v>
      </x:c>
      <x:c r="H116" s="23" t="n">
        <x:v>45956.958333333336</x:v>
      </x:c>
      <x:c r="I116" s="23" t="n">
        <x:v>45956.96061342592</x:v>
      </x:c>
      <x:c r="J116" s="10" t="str">
        <x:v>Luis Lara, Isabela Orozco, Edwin Naula, Stalin Loaiza</x:v>
      </x:c>
      <x:c r="K116" s="10" t="str"/>
      <x:c r="L116" s="10"/>
      <x:c r="M116" s="10" t="str">
        <x:v>F26-11-ACT</x:v>
      </x:c>
      <x:c r="N116" s="10" t="str">
        <x:v>Activaciones territoriales</x:v>
      </x:c>
      <x:c r="O116" s="10" t="str">
        <x:v>Calle, estadio, perifoneo y alianzas de distribución</x:v>
      </x:c>
      <x:c r="P116" s="10" t="str">
        <x:v>Convertir con control</x:v>
      </x:c>
      <x:c r="Q116" s="10" t="str">
        <x:v>Medio</x:v>
      </x:c>
      <x:c r="R116" s="10" t="str">
        <x:v>Producción — Iván (apellido por confirmar) + comunicación</x:v>
      </x:c>
      <x:c r="S116" s="10" t="str">
        <x:v>Coordinación general + operación/seguridad</x:v>
      </x:c>
      <x:c r="T116" s="10" t="str">
        <x:v>Conversión</x:v>
      </x:c>
      <x:c r="U116" s="10" t="str">
        <x:v>Permisos, ruta, seguridad, materiales y medición definidos</x:v>
      </x:c>
      <x:c r="V116" s="10" t="str">
        <x:v>Permisos, ruta, seguridad, materiales y medición definidos</x:v>
      </x:c>
      <x:c r="W116" s="10" t="str">
        <x:v>Desarrollar activaciones en eventos dentro y fuera de la cuidad promoviendo la compra de entradas de cada show identificando el segmento de mercados. - Identificar eventos de impacto en la ciudad - Gestión de elementos de activación ( BOLETOS, FLYERS) - Activaciones insitu</x:v>
      </x:c>
      <x:c r="X116" s="10" t="str">
        <x:v>No</x:v>
      </x:c>
      <x:c r="Y116" s="10" t="str">
        <x:f>IF(F116&lt;&gt;"Completada","Sin cierre",IF(OR(H116="",I116=""),"Sin dato",IF(I116&lt;=H116,"A tiempo","Tarde")))</x:f>
        <x:v>Tarde</x:v>
      </x:c>
      <x:c r="Z116" s="24" t="n">
        <x:f>IF(OR(G116="",H116=""),"",H116-G116)</x:f>
        <x:v>6.343657407407591</x:v>
      </x:c>
    </x:row>
    <x:row r="117" ht="42" customHeight="1">
      <x:c r="A117" s="10" t="n">
        <x:v>116</x:v>
      </x:c>
      <x:c r="B117" s="10" t="n">
        <x:v>13522</x:v>
      </x:c>
      <x:c r="C117" s="10" t="str">
        <x:v>POST para Envio masivo en whatsapp y mail</x:v>
      </x:c>
      <x:c r="D117" s="10" t="str">
        <x:v>Edwin Naula</x:v>
      </x:c>
      <x:c r="E117" s="10" t="str">
        <x:v>Edwin Naula</x:v>
      </x:c>
      <x:c r="F117" s="10" t="str">
        <x:v>Completada</x:v>
      </x:c>
      <x:c r="G117" s="23" t="n">
        <x:v>45950.61591435185</x:v>
      </x:c>
      <x:c r="H117" s="23" t="n">
        <x:v>45952.979166666664</x:v>
      </x:c>
      <x:c r="I117" s="23" t="n">
        <x:v>45952.82300925926</x:v>
      </x:c>
      <x:c r="J117" s="10" t="str">
        <x:v>Stalin Flores, Diego Flores (grafía por confirmar), Stalin Loaiza</x:v>
      </x:c>
      <x:c r="K117" s="10" t="str"/>
      <x:c r="L117" s="10"/>
      <x:c r="M117" s="10" t="str">
        <x:v>F26-07-SHOW</x:v>
      </x:c>
      <x:c r="N117" s="10" t="str">
        <x:v>Programación y marketing</x:v>
      </x:c>
      <x:c r="O117" s="10" t="str">
        <x:v>Shows, artistas y programación bajo embargo</x:v>
      </x:c>
      <x:c r="P117" s="10" t="str">
        <x:v>Convertir con control</x:v>
      </x:c>
      <x:c r="Q117" s="10" t="str">
        <x:v>Alto</x:v>
      </x:c>
      <x:c r="R117" s="10" t="str">
        <x:v>Programación + coordinación comunicación</x:v>
      </x:c>
      <x:c r="S117" s="10" t="str">
        <x:v>Dirección + programación + derechos</x:v>
      </x:c>
      <x:c r="T117" s="10" t="str">
        <x:v>Revelación y conversión</x:v>
      </x:c>
      <x:c r="U117" s="10" t="str">
        <x:v>Contrato, grafía, día, horario, derechos, embargo y oferta confirmados</x:v>
      </x:c>
      <x:c r="V117" s="10" t="str">
        <x:v>No comunicar escasez sin inventario conciliado y evidencia actualizada.</x:v>
      </x:c>
      <x:c r="W117" s="10" t="str">
        <x:v>Diseño de artes para envios masivos de ticketstar a WHATSAPP Y MAIL con la informacion de shows, procurar que el CTA sea adquiere tus entradas, compra ya, quedan pocan entradas disponibles, separa la tuya ya!, etc. verificar la mejor deben ser de todos los hows, para que las personas vean cuales son los artistas, en formato 4:5 y 9:16</x:v>
      </x:c>
      <x:c r="X117" s="10" t="str">
        <x:v>No</x:v>
      </x:c>
      <x:c r="Y117" s="10" t="str">
        <x:f>IF(F117&lt;&gt;"Completada","Sin cierre",IF(OR(H117="",I117=""),"Sin dato",IF(I117&lt;=H117,"A tiempo","Tarde")))</x:f>
        <x:v>A tiempo</x:v>
      </x:c>
      <x:c r="Z117" s="24" t="n">
        <x:f>IF(OR(G117="",H117=""),"",H117-G117)</x:f>
        <x:v>2.363252314811689</x:v>
      </x:c>
    </x:row>
    <x:row r="118" ht="42" customHeight="1">
      <x:c r="A118" s="10" t="n">
        <x:v>117</x:v>
      </x:c>
      <x:c r="B118" s="10" t="n">
        <x:v>13524</x:v>
      </x:c>
      <x:c r="C118" s="10" t="str">
        <x:v>Reunión de ventas de boletos</x:v>
      </x:c>
      <x:c r="D118" s="10" t="str">
        <x:v>Stalin Loaiza</x:v>
      </x:c>
      <x:c r="E118" s="10" t="str">
        <x:v>Alex Naranjo</x:v>
      </x:c>
      <x:c r="F118" s="10" t="str">
        <x:v>Completada</x:v>
      </x:c>
      <x:c r="G118" s="23" t="n">
        <x:v>45950.619363425925</x:v>
      </x:c>
      <x:c r="H118" s="23" t="n">
        <x:v>45953.958333333336</x:v>
      </x:c>
      <x:c r="I118" s="23" t="n">
        <x:v>45954.62447916667</x:v>
      </x:c>
      <x:c r="J118" s="10" t="str"/>
      <x:c r="K118" s="10" t="str"/>
      <x:c r="L118" s="10"/>
      <x:c r="M118" s="10" t="str">
        <x:v>F26-05-ENT</x:v>
      </x:c>
      <x:c r="N118" s="10" t="str">
        <x:v>Entradas y conversión</x:v>
      </x:c>
      <x:c r="O118" s="10" t="str">
        <x:v>Preventa, boletería, puntos y disponibilidad</x:v>
      </x:c>
      <x:c r="P118" s="10" t="str">
        <x:v>Convertir con control</x:v>
      </x:c>
      <x:c r="Q118" s="10" t="str">
        <x:v>Alto</x:v>
      </x:c>
      <x:c r="R118" s="10" t="str">
        <x:v>Dueño de entradas/comercial — por asignar</x:v>
      </x:c>
      <x:c r="S118" s="10" t="str">
        <x:v>Dirección + finanzas + operación</x:v>
      </x:c>
      <x:c r="T118" s="10" t="str">
        <x:v>Revelación y preventa</x:v>
      </x:c>
      <x:c r="U118" s="10" t="str">
        <x:v>Oferta, precios, aforo, términos, destino seguro y compra de prueba</x:v>
      </x:c>
      <x:c r="V118" s="10" t="str">
        <x:v>Oferta, precios, aforo, términos, destino seguro y compra de prueba</x:v>
      </x:c>
      <x:c r="W118" s="10" t="str"/>
      <x:c r="X118" s="10" t="str">
        <x:v>No</x:v>
      </x:c>
      <x:c r="Y118" s="10" t="str">
        <x:f>IF(F118&lt;&gt;"Completada","Sin cierre",IF(OR(H118="",I118=""),"Sin dato",IF(I118&lt;=H118,"A tiempo","Tarde")))</x:f>
        <x:v>Tarde</x:v>
      </x:c>
      <x:c r="Z118" s="24" t="n">
        <x:f>IF(OR(G118="",H118=""),"",H118-G118)</x:f>
        <x:v>3.338969907410501</x:v>
      </x:c>
    </x:row>
    <x:row r="119" ht="42" customHeight="1">
      <x:c r="A119" s="10" t="n">
        <x:v>118</x:v>
      </x:c>
      <x:c r="B119" s="10" t="n">
        <x:v>13528</x:v>
      </x:c>
      <x:c r="C119" s="10" t="str">
        <x:v>Activación partido Mushuc Runa vs Manta</x:v>
      </x:c>
      <x:c r="D119" s="10" t="str">
        <x:v>Edwin Masa Sisa (identidad por confirmar)</x:v>
      </x:c>
      <x:c r="E119" s="10" t="str">
        <x:v>Edwin Masa Sisa (identidad por confirmar)</x:v>
      </x:c>
      <x:c r="F119" s="10" t="str">
        <x:v>Completada</x:v>
      </x:c>
      <x:c r="G119" s="23" t="n">
        <x:v>45950.62857638889</x:v>
      </x:c>
      <x:c r="H119" s="23" t="n">
        <x:v>45955.958333333336</x:v>
      </x:c>
      <x:c r="I119" s="23" t="n">
        <x:v>45957.578518518516</x:v>
      </x:c>
      <x:c r="J119" s="10" t="str">
        <x:v>Luis Lara, Pam Villa, Valery Paredes, Isabela Orozco, Andrés Flores, Edwin Masa Sisa (identidad por confirmar), Stalin Loaiza</x:v>
      </x:c>
      <x:c r="K119" s="10" t="str"/>
      <x:c r="L119" s="10"/>
      <x:c r="M119" s="10" t="str">
        <x:v>F26-11-ACT</x:v>
      </x:c>
      <x:c r="N119" s="10" t="str">
        <x:v>Activaciones territoriales</x:v>
      </x:c>
      <x:c r="O119" s="10" t="str">
        <x:v>Calle, estadio, perifoneo y alianzas de distribución</x:v>
      </x:c>
      <x:c r="P119" s="10" t="str">
        <x:v>Convertir con control</x:v>
      </x:c>
      <x:c r="Q119" s="10" t="str">
        <x:v>Medio</x:v>
      </x:c>
      <x:c r="R119" s="10" t="str">
        <x:v>Producción — Iván (apellido por confirmar) + comunicación</x:v>
      </x:c>
      <x:c r="S119" s="10" t="str">
        <x:v>Coordinación general + operación/seguridad</x:v>
      </x:c>
      <x:c r="T119" s="10" t="str">
        <x:v>Conversión</x:v>
      </x:c>
      <x:c r="U119" s="10" t="str">
        <x:v>Permisos, ruta, seguridad, materiales y medición definidos</x:v>
      </x:c>
      <x:c r="V119" s="10" t="str">
        <x:v>Permisos, ruta, seguridad, materiales y medición definidos</x:v>
      </x:c>
      <x:c r="W119" s="10" t="str">
        <x:v>Comunicación de feria en el partido el día sábado 25 de octubre - Entrega de souvenirs - Ubicación de pancarta en el medio tiempo - Entrega de entradas dependiendo la afluencia de hinchas - Ubicación de jingles y videos en pantallas - Volanteo del evento - Voz de activación medio tiempo - Generación de contenidos de feria</x:v>
      </x:c>
      <x:c r="X119" s="10" t="str">
        <x:v>No</x:v>
      </x:c>
      <x:c r="Y119" s="10" t="str">
        <x:f>IF(F119&lt;&gt;"Completada","Sin cierre",IF(OR(H119="",I119=""),"Sin dato",IF(I119&lt;=H119,"A tiempo","Tarde")))</x:f>
        <x:v>Tarde</x:v>
      </x:c>
      <x:c r="Z119" s="24" t="n">
        <x:f>IF(OR(G119="",H119=""),"",H119-G119)</x:f>
        <x:v>5.329756944447581</x:v>
      </x:c>
    </x:row>
    <x:row r="120" ht="42" customHeight="1">
      <x:c r="A120" s="10" t="n">
        <x:v>119</x:v>
      </x:c>
      <x:c r="B120" s="10" t="n">
        <x:v>13530</x:v>
      </x:c>
      <x:c r="C120" s="10" t="str">
        <x:v>REEL PALO ENCEBADO</x:v>
      </x:c>
      <x:c r="D120" s="10" t="str">
        <x:v>Edwin Naula</x:v>
      </x:c>
      <x:c r="E120" s="10" t="str">
        <x:v>Edwin Naula</x:v>
      </x:c>
      <x:c r="F120" s="10" t="str">
        <x:v>Completada</x:v>
      </x:c>
      <x:c r="G120" s="23" t="n">
        <x:v>45950.64696759259</x:v>
      </x:c>
      <x:c r="H120" s="23" t="n">
        <x:v>45956.979166666664</x:v>
      </x:c>
      <x:c r="I120" s="23" t="n">
        <x:v>45956.961122685185</x:v>
      </x:c>
      <x:c r="J120" s="10" t="str">
        <x:v>Pam Villa</x:v>
      </x:c>
      <x:c r="K120" s="10" t="str"/>
      <x:c r="L120" s="10"/>
      <x:c r="M120" s="10" t="str">
        <x:v>F26-08-TRAD</x:v>
      </x:c>
      <x:c r="N120" s="10" t="str">
        <x:v>Experiencia y cultura</x:v>
      </x:c>
      <x:c r="O120" s="10" t="str">
        <x:v>Tradición, concursos, rituales y cinco jornadas</x:v>
      </x:c>
      <x:c r="P120" s="10" t="str">
        <x:v>Convertir con control</x:v>
      </x:c>
      <x:c r="Q120" s="10" t="str">
        <x:v>Medio</x:v>
      </x:c>
      <x:c r="R120" s="10" t="str">
        <x:v>Experiencia + aprobación cultural — por asignar</x:v>
      </x:c>
      <x:c r="S120" s="10" t="str">
        <x:v>Dirección + comunidad/cultura + operación</x:v>
      </x:c>
      <x:c r="T120" s="10" t="str">
        <x:v>Expectativa y experiencia</x:v>
      </x:c>
      <x:c r="U120" s="10" t="str">
        <x:v>Validación cultural, reglas, capacidad y operación documentadas</x:v>
      </x:c>
      <x:c r="V120" s="10" t="str">
        <x:v>Validación cultural, reglas, capacidad y operación documentadas</x:v>
      </x:c>
      <x:c r="W120" s="10" t="str">
        <x:v>video reel palo ENCEBADO</x:v>
      </x:c>
      <x:c r="X120" s="10" t="str">
        <x:v>No</x:v>
      </x:c>
      <x:c r="Y120" s="10" t="str">
        <x:f>IF(F120&lt;&gt;"Completada","Sin cierre",IF(OR(H120="",I120=""),"Sin dato",IF(I120&lt;=H120,"A tiempo","Tarde")))</x:f>
        <x:v>A tiempo</x:v>
      </x:c>
      <x:c r="Z120" s="24" t="n">
        <x:f>IF(OR(G120="",H120=""),"",H120-G120)</x:f>
        <x:v>6.332199074073287</x:v>
      </x:c>
    </x:row>
    <x:row r="121" ht="42" customHeight="1">
      <x:c r="A121" s="10" t="n">
        <x:v>120</x:v>
      </x:c>
      <x:c r="B121" s="10" t="n">
        <x:v>13532</x:v>
      </x:c>
      <x:c r="C121" s="10" t="str">
        <x:v>Juegos tradicionales</x:v>
      </x:c>
      <x:c r="D121" s="10" t="str">
        <x:v>Stalin Loaiza</x:v>
      </x:c>
      <x:c r="E121" s="10" t="str">
        <x:v>Stalin Loaiza</x:v>
      </x:c>
      <x:c r="F121" s="10" t="str">
        <x:v>Completada</x:v>
      </x:c>
      <x:c r="G121" s="23" t="n">
        <x:v>45950.64913194445</x:v>
      </x:c>
      <x:c r="H121" s="23"/>
      <x:c r="I121" s="23" t="n">
        <x:v>45951.93263888889</x:v>
      </x:c>
      <x:c r="J121" s="10" t="str"/>
      <x:c r="K121" s="10" t="str"/>
      <x:c r="L121" s="10"/>
      <x:c r="M121" s="10" t="str">
        <x:v>F26-08-TRAD</x:v>
      </x:c>
      <x:c r="N121" s="10" t="str">
        <x:v>Experiencia y cultura</x:v>
      </x:c>
      <x:c r="O121" s="10" t="str">
        <x:v>Tradición, concursos, rituales y cinco jornadas</x:v>
      </x:c>
      <x:c r="P121" s="10" t="str">
        <x:v>Convertir con control</x:v>
      </x:c>
      <x:c r="Q121" s="10" t="str">
        <x:v>Medio</x:v>
      </x:c>
      <x:c r="R121" s="10" t="str">
        <x:v>Experiencia + aprobación cultural — por asignar</x:v>
      </x:c>
      <x:c r="S121" s="10" t="str">
        <x:v>Dirección + comunidad/cultura + operación</x:v>
      </x:c>
      <x:c r="T121" s="10" t="str">
        <x:v>Expectativa y experiencia</x:v>
      </x:c>
      <x:c r="U121" s="10" t="str">
        <x:v>Validación cultural, reglas, capacidad y operación documentadas</x:v>
      </x:c>
      <x:c r="V121" s="10" t="str">
        <x:v>Validación cultural, reglas, capacidad y operación documentadas</x:v>
      </x:c>
      <x:c r="W121" s="10" t="str"/>
      <x:c r="X121" s="10" t="str">
        <x:v>No</x:v>
      </x:c>
      <x:c r="Y121" s="10" t="str">
        <x:f>IF(F121&lt;&gt;"Completada","Sin cierre",IF(OR(H121="",I121=""),"Sin dato",IF(I121&lt;=H121,"A tiempo","Tarde")))</x:f>
        <x:v>Sin dato</x:v>
      </x:c>
      <x:c r="Z121" s="24" t="str">
        <x:f>IF(OR(G121="",H121=""),"",H121-G121)</x:f>
      </x:c>
    </x:row>
    <x:row r="122" ht="42" customHeight="1">
      <x:c r="A122" s="10" t="n">
        <x:v>121</x:v>
      </x:c>
      <x:c r="B122" s="10" t="n">
        <x:v>13534</x:v>
      </x:c>
      <x:c r="C122" s="10" t="str">
        <x:v>Invitacion a escuelas a la Inauguración</x:v>
      </x:c>
      <x:c r="D122" s="10" t="str">
        <x:v>Isabela Orozco</x:v>
      </x:c>
      <x:c r="E122" s="10" t="str">
        <x:v>Edwin Masa Sisa (identidad por confirmar)</x:v>
      </x:c>
      <x:c r="F122" s="10" t="str">
        <x:v>Completada</x:v>
      </x:c>
      <x:c r="G122" s="23" t="n">
        <x:v>45950.6484837963</x:v>
      </x:c>
      <x:c r="H122" s="23" t="n">
        <x:v>45957.958333333336</x:v>
      </x:c>
      <x:c r="I122" s="23" t="n">
        <x:v>45957.59311342592</x:v>
      </x:c>
      <x:c r="J122" s="10" t="str">
        <x:v>Alex Naranjo, Luis Lara, Stalin Flores, Isabela Orozco, Zeus Producciones, Stalin Loaiza</x:v>
      </x:c>
      <x:c r="K122" s="10" t="str"/>
      <x:c r="L122" s="10"/>
      <x:c r="M122" s="10" t="str">
        <x:v>F26-01-GOB</x:v>
      </x:c>
      <x:c r="N122" s="10" t="str">
        <x:v>Dirección y control</x:v>
      </x:c>
      <x:c r="O122" s="10" t="str">
        <x:v>Gobierno, planificación y aprobaciones</x:v>
      </x:c>
      <x:c r="P122" s="10" t="str">
        <x:v>Consolidar en paquete 2026</x:v>
      </x:c>
      <x:c r="Q122" s="10" t="str">
        <x:v>Medio</x:v>
      </x:c>
      <x:c r="R122" s="10" t="str">
        <x:v>Coordinación general de marketing — Edwin Masabanda</x:v>
      </x:c>
      <x:c r="S122" s="10" t="str">
        <x:v>Dirección de marketing — Andrés Naranjo</x:v>
      </x:c>
      <x:c r="T122" s="10" t="str">
        <x:v>Preparación interna</x:v>
      </x:c>
      <x:c r="U122" s="10" t="str">
        <x:v>RACI ratificado, fecha confirmada y fuente única vigente</x:v>
      </x:c>
      <x:c r="V122" s="10" t="str">
        <x:v>Evitar microtareas ad hoc; trabajar desde un brief, plantilla, dueño y fecha de aprobación.</x:v>
      </x:c>
      <x:c r="W122" s="10" t="str">
        <x:v>Definir unidades educativas para la inauguración de la 5ta feria. - 3 unidades educativas - Transporte - Alimentación</x:v>
      </x:c>
      <x:c r="X122" s="10" t="str">
        <x:v>No</x:v>
      </x:c>
      <x:c r="Y122" s="10" t="str">
        <x:f>IF(F122&lt;&gt;"Completada","Sin cierre",IF(OR(H122="",I122=""),"Sin dato",IF(I122&lt;=H122,"A tiempo","Tarde")))</x:f>
        <x:v>A tiempo</x:v>
      </x:c>
      <x:c r="Z122" s="24" t="n">
        <x:f>IF(OR(G122="",H122=""),"",H122-G122)</x:f>
        <x:v>7.309849537035916</x:v>
      </x:c>
    </x:row>
    <x:row r="123" ht="42" customHeight="1">
      <x:c r="A123" s="10" t="n">
        <x:v>122</x:v>
      </x:c>
      <x:c r="B123" s="10" t="n">
        <x:v>13538</x:v>
      </x:c>
      <x:c r="C123" s="10" t="str">
        <x:v>Gestionar con medios digitales</x:v>
      </x:c>
      <x:c r="D123" s="10" t="str">
        <x:v>Isabela Orozco</x:v>
      </x:c>
      <x:c r="E123" s="10" t="str">
        <x:v>Stalin Loaiza</x:v>
      </x:c>
      <x:c r="F123" s="10" t="str">
        <x:v>Completada</x:v>
      </x:c>
      <x:c r="G123" s="23" t="n">
        <x:v>45950.66572916666</x:v>
      </x:c>
      <x:c r="H123" s="23" t="n">
        <x:v>45951.958333333336</x:v>
      </x:c>
      <x:c r="I123" s="23" t="n">
        <x:v>45952.56353009259</x:v>
      </x:c>
      <x:c r="J123" s="10" t="str">
        <x:v>Edwin Naula</x:v>
      </x:c>
      <x:c r="K123" s="10" t="str"/>
      <x:c r="L123" s="10"/>
      <x:c r="M123" s="10" t="str">
        <x:v>F26-10-PR</x:v>
      </x:c>
      <x:c r="N123" s="10" t="str">
        <x:v>Relaciones públicas</x:v>
      </x:c>
      <x:c r="O123" s="10" t="str">
        <x:v>Prensa, radios, giras y vocerías</x:v>
      </x:c>
      <x:c r="P123" s="10" t="str">
        <x:v>Convertir con control</x:v>
      </x:c>
      <x:c r="Q123" s="10" t="str">
        <x:v>Medio</x:v>
      </x:c>
      <x:c r="R123" s="10" t="str">
        <x:v>Relaciones públicas — Are Morales</x:v>
      </x:c>
      <x:c r="S123" s="10" t="str">
        <x:v>Dirección + vocero autorizado</x:v>
      </x:c>
      <x:c r="T123" s="10" t="str">
        <x:v>Revelación y conversión</x:v>
      </x:c>
      <x:c r="U123" s="10" t="str">
        <x:v>Mensajes, agenda, vocero, ficha factual y monitoreo aprobados</x:v>
      </x:c>
      <x:c r="V123" s="10" t="str">
        <x:v>Mensajes, agenda, vocero, ficha factual y monitoreo aprobados</x:v>
      </x:c>
      <x:c r="W123" s="10" t="str">
        <x:v>Entregar un Excel de seguimiento de medios implica crear un documento estructurado que permita registrar y monitorear las publicaciones realizadas en medios digitales. Este archivo debe incluir las siguientes columnas o campos: Colocar el link de los posteos que han realizado - Traer una presentación de nuevos medios digitales en los ue se pueda publicar que vayan en relación a conciertos. - Para los medios que ya tenemeos realizar las listas para ver la posibilidad de pautar en sus redes</x:v>
      </x:c>
      <x:c r="X123" s="10" t="str">
        <x:v>No</x:v>
      </x:c>
      <x:c r="Y123" s="10" t="str">
        <x:f>IF(F123&lt;&gt;"Completada","Sin cierre",IF(OR(H123="",I123=""),"Sin dato",IF(I123&lt;=H123,"A tiempo","Tarde")))</x:f>
        <x:v>Tarde</x:v>
      </x:c>
      <x:c r="Z123" s="24" t="n">
        <x:f>IF(OR(G123="",H123=""),"",H123-G123)</x:f>
        <x:v>1.2926041666723904</x:v>
      </x:c>
    </x:row>
    <x:row r="124" ht="42" customHeight="1">
      <x:c r="A124" s="10" t="n">
        <x:v>123</x:v>
      </x:c>
      <x:c r="B124" s="10" t="n">
        <x:v>13540</x:v>
      </x:c>
      <x:c r="C124" s="10" t="str">
        <x:v>SOUVENIR AUSPICIANTES</x:v>
      </x:c>
      <x:c r="D124" s="10" t="str">
        <x:v>Edwin Masa Sisa (identidad por confirmar)</x:v>
      </x:c>
      <x:c r="E124" s="10" t="str">
        <x:v>Sonia Estrella</x:v>
      </x:c>
      <x:c r="F124" s="10" t="str">
        <x:v>En progreso</x:v>
      </x:c>
      <x:c r="G124" s="23" t="n">
        <x:v>45950.69484953704</x:v>
      </x:c>
      <x:c r="H124" s="23" t="n">
        <x:v>45954.958333333336</x:v>
      </x:c>
      <x:c r="I124" s="23"/>
      <x:c r="J124" s="10" t="str">
        <x:v>Stalin Flores, Edwin Masa Sisa (identidad por confirmar)</x:v>
      </x:c>
      <x:c r="K124" s="10" t="str"/>
      <x:c r="L124" s="10"/>
      <x:c r="M124" s="10" t="str">
        <x:v>F26-03-PAT</x:v>
      </x:c>
      <x:c r="N124" s="10" t="str">
        <x:v>Patrocinios y aliados</x:v>
      </x:c>
      <x:c r="O124" s="10" t="str">
        <x:v>Auspiciantes: altas, activos, beneficios y evidencia</x:v>
      </x:c>
      <x:c r="P124" s="10" t="str">
        <x:v>Convertir con control</x:v>
      </x:c>
      <x:c r="Q124" s="10" t="str">
        <x:v>Medio</x:v>
      </x:c>
      <x:c r="R124" s="10" t="str">
        <x:v>Dueño de patrocinadores — por asignar</x:v>
      </x:c>
      <x:c r="S124" s="10" t="str">
        <x:v>Dirección + finanzas/comercial</x:v>
      </x:c>
      <x:c r="T124" s="10" t="str">
        <x:v>Revelación y preventa</x:v>
      </x:c>
      <x:c r="U124" s="10" t="str">
        <x:v>Contrato, inventario de beneficios y master de logos conciliados</x:v>
      </x:c>
      <x:c r="V124" s="10" t="str">
        <x:v>El cierre histórico no quedó completado. Contrato, inventario de beneficios y master de logos conciliados</x:v>
      </x:c>
      <x:c r="W124" s="10" t="str"/>
      <x:c r="X124" s="10" t="str">
        <x:v>No</x:v>
      </x:c>
      <x:c r="Y124" s="10" t="str">
        <x:f>IF(F124&lt;&gt;"Completada","Sin cierre",IF(OR(H124="",I124=""),"Sin dato",IF(I124&lt;=H124,"A tiempo","Tarde")))</x:f>
        <x:v>Sin cierre</x:v>
      </x:c>
      <x:c r="Z124" s="24" t="n">
        <x:f>IF(OR(G124="",H124=""),"",H124-G124)</x:f>
        <x:v>4.263483796297805</x:v>
      </x:c>
    </x:row>
    <x:row r="125" ht="42" customHeight="1">
      <x:c r="A125" s="10" t="n">
        <x:v>124</x:v>
      </x:c>
      <x:c r="B125" s="10" t="n">
        <x:v>13542</x:v>
      </x:c>
      <x:c r="C125" s="10" t="str">
        <x:v>POST PROMO STANDS / EXPOSITORES</x:v>
      </x:c>
      <x:c r="D125" s="10" t="str">
        <x:v>Pam Villa</x:v>
      </x:c>
      <x:c r="E125" s="10" t="str">
        <x:v>Pam Villa</x:v>
      </x:c>
      <x:c r="F125" s="10" t="str">
        <x:v>Completada</x:v>
      </x:c>
      <x:c r="G125" s="23" t="n">
        <x:v>45950.70072916667</x:v>
      </x:c>
      <x:c r="H125" s="23" t="n">
        <x:v>45950.958333333336</x:v>
      </x:c>
      <x:c r="I125" s="23" t="n">
        <x:v>45950.85340277778</x:v>
      </x:c>
      <x:c r="J125" s="10" t="str">
        <x:v>Alex Naranjo, Luis Lara, Stalin Flores, Edwin Naula</x:v>
      </x:c>
      <x:c r="K125" s="10" t="str"/>
      <x:c r="L125" s="10"/>
      <x:c r="M125" s="10" t="str">
        <x:v>F26-04-EXP</x:v>
      </x:c>
      <x:c r="N125" s="10" t="str">
        <x:v>Expositores y comercialización</x:v>
      </x:c>
      <x:c r="O125" s="10" t="str">
        <x:v>Stands, expositores y narrativa comercial</x:v>
      </x:c>
      <x:c r="P125" s="10" t="str">
        <x:v>Consolidar en paquete 2026</x:v>
      </x:c>
      <x:c r="Q125" s="10" t="str">
        <x:v>Medio</x:v>
      </x:c>
      <x:c r="R125" s="10" t="str">
        <x:v>Dueño de expositores — por asignar</x:v>
      </x:c>
      <x:c r="S125" s="10" t="str">
        <x:v>Dirección/comercial + operación</x:v>
      </x:c>
      <x:c r="T125" s="10" t="str">
        <x:v>Revelación y preventa</x:v>
      </x:c>
      <x:c r="U125" s="10" t="str">
        <x:v>Inventario, precios, políticas y capacidad aprobados</x:v>
      </x:c>
      <x:c r="V125" s="10" t="str">
        <x:v>Evitar microtareas ad hoc; trabajar desde un brief, plantilla, dueño y fecha de aprobación.</x:v>
      </x:c>
      <x:c r="W125" s="10" t="str">
        <x:v>Stalin Vladimir Gabriel Flores EDWIN NAULA1.- - En Finados Mushuc Runa… ¡se vive la tradición hecha a mano! barros y madera (YA ESTÁ) - En Finados Mushuc Runa… ¡se vive el comercio con tradición! Ofertas, sabores y emociones en cada puesto (YA ESTÁ) - En la Finados Mushuc Runa, las grandes ideas también tienen su espacio. Negocios que inspiran, marcas que crecen. - Zona de Productores. ¡Apoya lo nuestro, disfruta lo auténtico! En Finados Mushuc Runa… ¡los productores son los protagonistas! -</x:v>
      </x:c>
      <x:c r="X125" s="10" t="str">
        <x:v>No</x:v>
      </x:c>
      <x:c r="Y125" s="10" t="str">
        <x:f>IF(F125&lt;&gt;"Completada","Sin cierre",IF(OR(H125="",I125=""),"Sin dato",IF(I125&lt;=H125,"A tiempo","Tarde")))</x:f>
        <x:v>A tiempo</x:v>
      </x:c>
      <x:c r="Z125" s="24" t="n">
        <x:f>IF(OR(G125="",H125=""),"",H125-G125)</x:f>
        <x:v>0.25760416666889796</x:v>
      </x:c>
    </x:row>
    <x:row r="126" ht="42" customHeight="1">
      <x:c r="A126" s="10" t="n">
        <x:v>125</x:v>
      </x:c>
      <x:c r="B126" s="10" t="n">
        <x:v>13544</x:v>
      </x:c>
      <x:c r="C126" s="10" t="str">
        <x:v>GUIONES PRODUCCION INFLUENCER Y ABOGADO</x:v>
      </x:c>
      <x:c r="D126" s="10" t="str">
        <x:v>Edwin Naula</x:v>
      </x:c>
      <x:c r="E126" s="10" t="str">
        <x:v>Edwin Naula</x:v>
      </x:c>
      <x:c r="F126" s="10" t="str">
        <x:v>Completada</x:v>
      </x:c>
      <x:c r="G126" s="23" t="n">
        <x:v>45950.70775462963</x:v>
      </x:c>
      <x:c r="H126" s="23" t="n">
        <x:v>45954.979166666664</x:v>
      </x:c>
      <x:c r="I126" s="23" t="n">
        <x:v>45954.95122685185</x:v>
      </x:c>
      <x:c r="J126" s="10" t="str">
        <x:v>Pam Villa, Sonia Estrella, Edwin Naula</x:v>
      </x:c>
      <x:c r="K126" s="10" t="str"/>
      <x:c r="L126" s="10"/>
      <x:c r="M126" s="10" t="str">
        <x:v>F26-09-CREA</x:v>
      </x:c>
      <x:c r="N126" s="10" t="str">
        <x:v>Creadores y comunidad</x:v>
      </x:c>
      <x:c r="O126" s="10" t="str">
        <x:v>Influencers, embajadores y referidos</x:v>
      </x:c>
      <x:c r="P126" s="10" t="str">
        <x:v>Convertir con control</x:v>
      </x:c>
      <x:c r="Q126" s="10" t="str">
        <x:v>Medio</x:v>
      </x:c>
      <x:c r="R126" s="10" t="str">
        <x:v>Coordinación comunicación + relaciones públicas</x:v>
      </x:c>
      <x:c r="S126" s="10" t="str">
        <x:v>Dirección de marketing + legal/finanzas cuando aplique</x:v>
      </x:c>
      <x:c r="T126" s="10" t="str">
        <x:v>Expectativa y conversión</x:v>
      </x:c>
      <x:c r="U126" s="10" t="str">
        <x:v>Brief, derechos, selección, compensación fija y evidencia verificable</x:v>
      </x:c>
      <x:c r="V126" s="10" t="str">
        <x:v>Brief, derechos, selección, compensación fija y evidencia verificable</x:v>
      </x:c>
      <x:c r="W126" s="10" t="str">
        <x:v>Generar guiones para los influencers y el abogado para rodar el día VIERNS CON PAOLO LADINO</x:v>
      </x:c>
      <x:c r="X126" s="10" t="str">
        <x:v>No</x:v>
      </x:c>
      <x:c r="Y126" s="10" t="str">
        <x:f>IF(F126&lt;&gt;"Completada","Sin cierre",IF(OR(H126="",I126=""),"Sin dato",IF(I126&lt;=H126,"A tiempo","Tarde")))</x:f>
        <x:v>A tiempo</x:v>
      </x:c>
      <x:c r="Z126" s="24" t="n">
        <x:f>IF(OR(G126="",H126=""),"",H126-G126)</x:f>
        <x:v>4.271412037036498</x:v>
      </x:c>
    </x:row>
    <x:row r="127" ht="42" customHeight="1">
      <x:c r="A127" s="10" t="n">
        <x:v>126</x:v>
      </x:c>
      <x:c r="B127" s="10" t="n">
        <x:v>13566</x:v>
      </x:c>
      <x:c r="C127" s="10" t="str">
        <x:v>ARTES INTERNOS PARA VENTA DE STANDS</x:v>
      </x:c>
      <x:c r="D127" s="10" t="str">
        <x:v>Edwin Naula</x:v>
      </x:c>
      <x:c r="E127" s="10" t="str">
        <x:v>Edwin Naula</x:v>
      </x:c>
      <x:c r="F127" s="10" t="str">
        <x:v>Completada</x:v>
      </x:c>
      <x:c r="G127" s="23" t="n">
        <x:v>45950.93136574074</x:v>
      </x:c>
      <x:c r="H127" s="23" t="n">
        <x:v>45950.958333333336</x:v>
      </x:c>
      <x:c r="I127" s="23" t="n">
        <x:v>45950.932962962965</x:v>
      </x:c>
      <x:c r="J127" s="10" t="str">
        <x:v>Stalin Flores</x:v>
      </x:c>
      <x:c r="K127" s="10" t="str"/>
      <x:c r="L127" s="10"/>
      <x:c r="M127" s="10" t="str">
        <x:v>F26-04-EXP</x:v>
      </x:c>
      <x:c r="N127" s="10" t="str">
        <x:v>Expositores y comercialización</x:v>
      </x:c>
      <x:c r="O127" s="10" t="str">
        <x:v>Stands, expositores y narrativa comercial</x:v>
      </x:c>
      <x:c r="P127" s="10" t="str">
        <x:v>Consolidar en paquete 2026</x:v>
      </x:c>
      <x:c r="Q127" s="10" t="str">
        <x:v>Medio</x:v>
      </x:c>
      <x:c r="R127" s="10" t="str">
        <x:v>Dueño de expositores — por asignar</x:v>
      </x:c>
      <x:c r="S127" s="10" t="str">
        <x:v>Dirección/comercial + operación</x:v>
      </x:c>
      <x:c r="T127" s="10" t="str">
        <x:v>Revelación y preventa</x:v>
      </x:c>
      <x:c r="U127" s="10" t="str">
        <x:v>Inventario, precios, políticas y capacidad aprobados</x:v>
      </x:c>
      <x:c r="V127" s="10" t="str">
        <x:v>Evitar microtareas ad hoc; trabajar desde un brief, plantilla, dueño y fecha de aprobación.</x:v>
      </x:c>
      <x:c r="W127" s="10" t="str">
        <x:v>Artes en 4:5 para venta de últimos stands PARA ESTADOS DE WHATSAPP</x:v>
      </x:c>
      <x:c r="X127" s="10" t="str">
        <x:v>No</x:v>
      </x:c>
      <x:c r="Y127" s="10" t="str">
        <x:f>IF(F127&lt;&gt;"Completada","Sin cierre",IF(OR(H127="",I127=""),"Sin dato",IF(I127&lt;=H127,"A tiempo","Tarde")))</x:f>
        <x:v>A tiempo</x:v>
      </x:c>
      <x:c r="Z127" s="24" t="n">
        <x:f>IF(OR(G127="",H127=""),"",H127-G127)</x:f>
        <x:v>0.026967592595610768</x:v>
      </x:c>
    </x:row>
    <x:row r="128" ht="42" customHeight="1">
      <x:c r="A128" s="10" t="n">
        <x:v>127</x:v>
      </x:c>
      <x:c r="B128" s="10" t="n">
        <x:v>13568</x:v>
      </x:c>
      <x:c r="C128" s="10" t="str">
        <x:v>RECTIFICAR ARTES DE SHOWS CON AUSPICIANTES ACTUALZIADOS</x:v>
      </x:c>
      <x:c r="D128" s="10" t="str">
        <x:v>Edwin Naula</x:v>
      </x:c>
      <x:c r="E128" s="10" t="str">
        <x:v>Edwin Naula</x:v>
      </x:c>
      <x:c r="F128" s="10" t="str">
        <x:v>Completada</x:v>
      </x:c>
      <x:c r="G128" s="23" t="n">
        <x:v>45951.20228009259</x:v>
      </x:c>
      <x:c r="H128" s="23" t="n">
        <x:v>45951.958333333336</x:v>
      </x:c>
      <x:c r="I128" s="23" t="n">
        <x:v>45951.90597222222</x:v>
      </x:c>
      <x:c r="J128" s="10" t="str">
        <x:v>Pam Villa, Valery Paredes</x:v>
      </x:c>
      <x:c r="K128" s="10" t="str"/>
      <x:c r="L128" s="10"/>
      <x:c r="M128" s="10" t="str">
        <x:v>F26-03-PAT</x:v>
      </x:c>
      <x:c r="N128" s="10" t="str">
        <x:v>Patrocinios y aliados</x:v>
      </x:c>
      <x:c r="O128" s="10" t="str">
        <x:v>Auspiciantes: altas, activos, beneficios y evidencia</x:v>
      </x:c>
      <x:c r="P128" s="10" t="str">
        <x:v>Convertir con control</x:v>
      </x:c>
      <x:c r="Q128" s="10" t="str">
        <x:v>Medio</x:v>
      </x:c>
      <x:c r="R128" s="10" t="str">
        <x:v>Dueño de patrocinadores — por asignar</x:v>
      </x:c>
      <x:c r="S128" s="10" t="str">
        <x:v>Dirección + finanzas/comercial</x:v>
      </x:c>
      <x:c r="T128" s="10" t="str">
        <x:v>Revelación y preventa</x:v>
      </x:c>
      <x:c r="U128" s="10" t="str">
        <x:v>Contrato, inventario de beneficios y master de logos conciliados</x:v>
      </x:c>
      <x:c r="V128" s="10" t="str">
        <x:v>Contrato, inventario de beneficios y master de logos conciliados</x:v>
      </x:c>
      <x:c r="W128" s="10" t="str">
        <x:v>VERIFICAR QUE ESTEN TODOS LOS AUSPICIANTES, FALTA FINAFIN EN LOS ULTIMOS DE VALERIA, CORREGIR PARA REEENVIAR POR FAVOR</x:v>
      </x:c>
      <x:c r="X128" s="10" t="str">
        <x:v>No</x:v>
      </x:c>
      <x:c r="Y128" s="10" t="str">
        <x:f>IF(F128&lt;&gt;"Completada","Sin cierre",IF(OR(H128="",I128=""),"Sin dato",IF(I128&lt;=H128,"A tiempo","Tarde")))</x:f>
        <x:v>A tiempo</x:v>
      </x:c>
      <x:c r="Z128" s="24" t="n">
        <x:f>IF(OR(G128="",H128=""),"",H128-G128)</x:f>
        <x:v>0.7560532407442224</x:v>
      </x:c>
    </x:row>
    <x:row r="129" ht="42" customHeight="1">
      <x:c r="A129" s="10" t="n">
        <x:v>128</x:v>
      </x:c>
      <x:c r="B129" s="10" t="n">
        <x:v>13570</x:v>
      </x:c>
      <x:c r="C129" s="10" t="str">
        <x:v>CTA - RECORDERIS NOMINADOS</x:v>
      </x:c>
      <x:c r="D129" s="10" t="str">
        <x:v>Edwin Naula</x:v>
      </x:c>
      <x:c r="E129" s="10" t="str">
        <x:v>Edwin Naula</x:v>
      </x:c>
      <x:c r="F129" s="10" t="str">
        <x:v>Completada</x:v>
      </x:c>
      <x:c r="G129" s="23" t="n">
        <x:v>45951.20701388889</x:v>
      </x:c>
      <x:c r="H129" s="23" t="n">
        <x:v>45952.979166666664</x:v>
      </x:c>
      <x:c r="I129" s="23" t="n">
        <x:v>45952.97988425926</x:v>
      </x:c>
      <x:c r="J129" s="10" t="str">
        <x:v>Pam Villa, Valery Paredes</x:v>
      </x:c>
      <x:c r="K129" s="10" t="str"/>
      <x:c r="L129" s="10"/>
      <x:c r="M129" s="10" t="str">
        <x:v>F26-08-TRAD</x:v>
      </x:c>
      <x:c r="N129" s="10" t="str">
        <x:v>Experiencia y cultura</x:v>
      </x:c>
      <x:c r="O129" s="10" t="str">
        <x:v>Tradición, concursos, rituales y cinco jornadas</x:v>
      </x:c>
      <x:c r="P129" s="10" t="str">
        <x:v>Rediseñar</x:v>
      </x:c>
      <x:c r="Q129" s="10" t="str">
        <x:v>Alto</x:v>
      </x:c>
      <x:c r="R129" s="10" t="str">
        <x:v>Experiencia + aprobación cultural — por asignar</x:v>
      </x:c>
      <x:c r="S129" s="10" t="str">
        <x:v>Dirección + comunidad/cultura + operación</x:v>
      </x:c>
      <x:c r="T129" s="10" t="str">
        <x:v>Expectativa y experiencia</x:v>
      </x:c>
      <x:c r="U129" s="10" t="str">
        <x:v>Validación cultural, reglas, capacidad y operación documentadas</x:v>
      </x:c>
      <x:c r="V129" s="10" t="str">
        <x:v>Evitar que la interacción social sea el único criterio; usar registro propio, jurado, antifraude y viabilidad operativa.</x:v>
      </x:c>
      <x:c r="W129" s="10" t="str">
        <x:v>Se requiere posteo 4:5 y 9:16 de un recordatorio de los nominados a guaguas de pan y señorita colada morada, en el copy adjuntar el link de cada uno para que las personas interactuen en el post, adicional el formato 9:16 para el estado se debe añadir una pregunta sobre cual es tu preferido? dejo a criterio si es factible poner la imagen de todos o a su vez solo texto.</x:v>
      </x:c>
      <x:c r="X129" s="10" t="str">
        <x:v>No</x:v>
      </x:c>
      <x:c r="Y129" s="10" t="str">
        <x:f>IF(F129&lt;&gt;"Completada","Sin cierre",IF(OR(H129="",I129=""),"Sin dato",IF(I129&lt;=H129,"A tiempo","Tarde")))</x:f>
        <x:v>Tarde</x:v>
      </x:c>
      <x:c r="Z129" s="24" t="n">
        <x:f>IF(OR(G129="",H129=""),"",H129-G129)</x:f>
        <x:v>1.7721527777757728</x:v>
      </x:c>
    </x:row>
    <x:row r="130" ht="42" customHeight="1">
      <x:c r="A130" s="10" t="n">
        <x:v>129</x:v>
      </x:c>
      <x:c r="B130" s="10" t="n">
        <x:v>13572</x:v>
      </x:c>
      <x:c r="C130" s="10" t="str">
        <x:v>POSTEO DE 2DOS ARTISTAS SHOWS</x:v>
      </x:c>
      <x:c r="D130" s="10" t="str">
        <x:v>Edwin Naula</x:v>
      </x:c>
      <x:c r="E130" s="10" t="str">
        <x:v>Edwin Naula</x:v>
      </x:c>
      <x:c r="F130" s="10" t="str">
        <x:v>Completada</x:v>
      </x:c>
      <x:c r="G130" s="23" t="n">
        <x:v>45951.212476851855</x:v>
      </x:c>
      <x:c r="H130" s="23" t="n">
        <x:v>45952.979166666664</x:v>
      </x:c>
      <x:c r="I130" s="23" t="n">
        <x:v>45952.97971064815</x:v>
      </x:c>
      <x:c r="J130" s="10" t="str"/>
      <x:c r="K130" s="10" t="str"/>
      <x:c r="L130" s="10"/>
      <x:c r="M130" s="10" t="str">
        <x:v>F26-07-SHOW</x:v>
      </x:c>
      <x:c r="N130" s="10" t="str">
        <x:v>Programación y marketing</x:v>
      </x:c>
      <x:c r="O130" s="10" t="str">
        <x:v>Shows, artistas y programación bajo embargo</x:v>
      </x:c>
      <x:c r="P130" s="10" t="str">
        <x:v>Convertir con control</x:v>
      </x:c>
      <x:c r="Q130" s="10" t="str">
        <x:v>Alto</x:v>
      </x:c>
      <x:c r="R130" s="10" t="str">
        <x:v>Programación + coordinación comunicación</x:v>
      </x:c>
      <x:c r="S130" s="10" t="str">
        <x:v>Dirección + programación + derechos</x:v>
      </x:c>
      <x:c r="T130" s="10" t="str">
        <x:v>Revelación y conversión</x:v>
      </x:c>
      <x:c r="U130" s="10" t="str">
        <x:v>Contrato, grafía, día, horario, derechos, embargo y oferta confirmados</x:v>
      </x:c>
      <x:c r="V130" s="10" t="str">
        <x:v>Contrato, grafía, día, horario, derechos, embargo y oferta confirmados</x:v>
      </x:c>
      <x:c r="W130" s="10" t="str">
        <x:v>Se requiere posteos 4:5 y 9:16 para los segundos artistas de los shows del megaescenario - TIERRA CANELA - LA VAGANCIA - FRANCO ROJAS - EULER CAICEDO - ADRIANA LUCIA - TROY Y LOS REYES</x:v>
      </x:c>
      <x:c r="X130" s="10" t="str">
        <x:v>No</x:v>
      </x:c>
      <x:c r="Y130" s="10" t="str">
        <x:f>IF(F130&lt;&gt;"Completada","Sin cierre",IF(OR(H130="",I130=""),"Sin dato",IF(I130&lt;=H130,"A tiempo","Tarde")))</x:f>
        <x:v>Tarde</x:v>
      </x:c>
      <x:c r="Z130" s="24" t="n">
        <x:f>IF(OR(G130="",H130=""),"",H130-G130)</x:f>
        <x:v>1.7666898148090695</x:v>
      </x:c>
    </x:row>
    <x:row r="131" ht="42" customHeight="1">
      <x:c r="A131" s="10" t="n">
        <x:v>130</x:v>
      </x:c>
      <x:c r="B131" s="10" t="n">
        <x:v>13574</x:v>
      </x:c>
      <x:c r="C131" s="10" t="str">
        <x:v>POST PARQUEADEROS + 10K</x:v>
      </x:c>
      <x:c r="D131" s="10" t="str">
        <x:v>Pam Villa</x:v>
      </x:c>
      <x:c r="E131" s="10" t="str">
        <x:v>Pam Villa</x:v>
      </x:c>
      <x:c r="F131" s="10" t="str">
        <x:v>Completada</x:v>
      </x:c>
      <x:c r="G131" s="23" t="n">
        <x:v>45951.55633101852</x:v>
      </x:c>
      <x:c r="H131" s="23" t="n">
        <x:v>45951.958333333336</x:v>
      </x:c>
      <x:c r="I131" s="23" t="n">
        <x:v>45953.55515046296</x:v>
      </x:c>
      <x:c r="J131" s="10" t="str">
        <x:v>Stalin Flores, Edwin Naula</x:v>
      </x:c>
      <x:c r="K131" s="10" t="str"/>
      <x:c r="L131" s="10"/>
      <x:c r="M131" s="10" t="str">
        <x:v>F26-13-SERV</x:v>
      </x:c>
      <x:c r="N131" s="10" t="str">
        <x:v>Servicio, movilidad e información</x:v>
      </x:c>
      <x:c r="O131" s="10" t="str">
        <x:v>Mapa, guía móvil, accesos, parqueaderos, transporte y FAQ</x:v>
      </x:c>
      <x:c r="P131" s="10" t="str">
        <x:v>Convertir con control</x:v>
      </x:c>
      <x:c r="Q131" s="10" t="str">
        <x:v>Alto</x:v>
      </x:c>
      <x:c r="R131" s="10" t="str">
        <x:v>Operación/servicio + tecnología — por asignar</x:v>
      </x:c>
      <x:c r="S131" s="10" t="str">
        <x:v>Operación + seguridad + dirección</x:v>
      </x:c>
      <x:c r="T131" s="10" t="str">
        <x:v>Conversión y vivo</x:v>
      </x:c>
      <x:c r="U131" s="10" t="str">
        <x:v>Plano, capacidades, rutas, políticas y responsables validados</x:v>
      </x:c>
      <x:c r="V131" s="10" t="str">
        <x:v>Plano, capacidades, rutas, políticas y responsables validados</x:v>
      </x:c>
      <x:c r="W131" s="10" t="str">
        <x:v>POST: ¡Llega, parquea y vive la feria! Más de 10MIL parqueaderos disponibles listos para tu comodidad. REEL de 10mil parqueaderos REEL informativo 10k parqueaderos</x:v>
      </x:c>
      <x:c r="X131" s="10" t="str">
        <x:v>No</x:v>
      </x:c>
      <x:c r="Y131" s="10" t="str">
        <x:f>IF(F131&lt;&gt;"Completada","Sin cierre",IF(OR(H131="",I131=""),"Sin dato",IF(I131&lt;=H131,"A tiempo","Tarde")))</x:f>
        <x:v>Tarde</x:v>
      </x:c>
      <x:c r="Z131" s="24" t="n">
        <x:f>IF(OR(G131="",H131=""),"",H131-G131)</x:f>
        <x:v>0.40200231481867377</x:v>
      </x:c>
    </x:row>
    <x:row r="132" ht="42" customHeight="1">
      <x:c r="A132" s="10" t="n">
        <x:v>131</x:v>
      </x:c>
      <x:c r="B132" s="10" t="n">
        <x:v>13576</x:v>
      </x:c>
      <x:c r="C132" s="10" t="str">
        <x:v>MARTES 21: AUDIOVISUALES</x:v>
      </x:c>
      <x:c r="D132" s="10" t="str">
        <x:v>Pam Villa</x:v>
      </x:c>
      <x:c r="E132" s="10" t="str">
        <x:v>Pam Villa</x:v>
      </x:c>
      <x:c r="F132" s="10" t="str">
        <x:v>Completada</x:v>
      </x:c>
      <x:c r="G132" s="23" t="n">
        <x:v>45951.58626157408</x:v>
      </x:c>
      <x:c r="H132" s="23" t="n">
        <x:v>45951.958333333336</x:v>
      </x:c>
      <x:c r="I132" s="23" t="n">
        <x:v>45954.6397337963</x:v>
      </x:c>
      <x:c r="J132" s="10" t="str">
        <x:v>Edwin Naula</x:v>
      </x:c>
      <x:c r="K132" s="10" t="str"/>
      <x:c r="L132" s="10"/>
      <x:c r="M132" s="10" t="str">
        <x:v>F26-02-MARCA</x:v>
      </x:c>
      <x:c r="N132" s="10" t="str">
        <x:v>Marca y creatividad</x:v>
      </x:c>
      <x:c r="O132" s="10" t="str">
        <x:v>Sistema visual y adaptaciones maestras</x:v>
      </x:c>
      <x:c r="P132" s="10" t="str">
        <x:v>Consolidar en paquete 2026</x:v>
      </x:c>
      <x:c r="Q132" s="10" t="str">
        <x:v>Medio</x:v>
      </x:c>
      <x:c r="R132" s="10" t="str">
        <x:v>Coordinación diseño/audiovisual — Andrés Naula</x:v>
      </x:c>
      <x:c r="S132" s="10" t="str">
        <x:v>Dirección de marketing + aprobación cultural/marca</x:v>
      </x:c>
      <x:c r="T132" s="10" t="str">
        <x:v>Preparación interna</x:v>
      </x:c>
      <x:c r="U132" s="10" t="str">
        <x:v>Plataforma ES TRADICIÓN y key visual aprobados</x:v>
      </x:c>
      <x:c r="V132" s="10" t="str">
        <x:v>Evitar microtareas ad hoc; trabajar desde un brief, plantilla, dueño y fecha de aprobación.</x:v>
      </x:c>
      <x:c r="W132" s="10" t="str">
        <x:v>- Andreso, revísale por fa estos contents para el día. Adjunto link de referencia para el tik tok [URL OMITIDA]</x:v>
      </x:c>
      <x:c r="X132" s="10" t="str">
        <x:v>Sí</x:v>
      </x:c>
      <x:c r="Y132" s="10" t="str">
        <x:f>IF(F132&lt;&gt;"Completada","Sin cierre",IF(OR(H132="",I132=""),"Sin dato",IF(I132&lt;=H132,"A tiempo","Tarde")))</x:f>
        <x:v>Tarde</x:v>
      </x:c>
      <x:c r="Z132" s="24" t="n">
        <x:f>IF(OR(G132="",H132=""),"",H132-G132)</x:f>
        <x:v>0.37207175925868796</x:v>
      </x:c>
    </x:row>
    <x:row r="133" ht="42" customHeight="1">
      <x:c r="A133" s="10" t="n">
        <x:v>132</x:v>
      </x:c>
      <x:c r="B133" s="10" t="n">
        <x:v>13578</x:v>
      </x:c>
      <x:c r="C133" s="10" t="str">
        <x:v>ACTUALIZACIÓN DE AUSPICIANTES EN ARTES GRÁFICOS FINALES</x:v>
      </x:c>
      <x:c r="D133" s="10" t="str">
        <x:v>Stalin Flores</x:v>
      </x:c>
      <x:c r="E133" s="10" t="str">
        <x:v>Pam Villa</x:v>
      </x:c>
      <x:c r="F133" s="10" t="str">
        <x:v>Completada</x:v>
      </x:c>
      <x:c r="G133" s="23" t="n">
        <x:v>45951.62195601852</x:v>
      </x:c>
      <x:c r="H133" s="23" t="n">
        <x:v>45951.958333333336</x:v>
      </x:c>
      <x:c r="I133" s="23" t="n">
        <x:v>45951.714895833335</x:v>
      </x:c>
      <x:c r="J133" s="10" t="str"/>
      <x:c r="K133" s="10" t="str"/>
      <x:c r="L133" s="10"/>
      <x:c r="M133" s="10" t="str">
        <x:v>F26-03-PAT</x:v>
      </x:c>
      <x:c r="N133" s="10" t="str">
        <x:v>Patrocinios y aliados</x:v>
      </x:c>
      <x:c r="O133" s="10" t="str">
        <x:v>Auspiciantes: altas, activos, beneficios y evidencia</x:v>
      </x:c>
      <x:c r="P133" s="10" t="str">
        <x:v>Convertir con control</x:v>
      </x:c>
      <x:c r="Q133" s="10" t="str">
        <x:v>Medio</x:v>
      </x:c>
      <x:c r="R133" s="10" t="str">
        <x:v>Dueño de patrocinadores — por asignar</x:v>
      </x:c>
      <x:c r="S133" s="10" t="str">
        <x:v>Dirección + finanzas/comercial</x:v>
      </x:c>
      <x:c r="T133" s="10" t="str">
        <x:v>Revelación y preventa</x:v>
      </x:c>
      <x:c r="U133" s="10" t="str">
        <x:v>Contrato, inventario de beneficios y master de logos conciliados</x:v>
      </x:c>
      <x:c r="V133" s="10" t="str">
        <x:v>Contrato, inventario de beneficios y master de logos conciliados</x:v>
      </x:c>
      <x:c r="W133" s="10" t="str">
        <x:v>Stalin Vladimir Gabriel Flores @EEDWIN NAULA</x:v>
      </x:c>
      <x:c r="X133" s="10" t="str">
        <x:v>No</x:v>
      </x:c>
      <x:c r="Y133" s="10" t="str">
        <x:f>IF(F133&lt;&gt;"Completada","Sin cierre",IF(OR(H133="",I133=""),"Sin dato",IF(I133&lt;=H133,"A tiempo","Tarde")))</x:f>
        <x:v>A tiempo</x:v>
      </x:c>
      <x:c r="Z133" s="24" t="n">
        <x:f>IF(OR(G133="",H133=""),"",H133-G133)</x:f>
        <x:v>0.3363773148157634</x:v>
      </x:c>
    </x:row>
    <x:row r="134" ht="42" customHeight="1">
      <x:c r="A134" s="10" t="n">
        <x:v>133</x:v>
      </x:c>
      <x:c r="B134" s="10" t="n">
        <x:v>13580</x:v>
      </x:c>
      <x:c r="C134" s="10" t="str">
        <x:v>MIÉRCOLES 22: ARTES GRÁFICOS Y VIDEOS</x:v>
      </x:c>
      <x:c r="D134" s="10" t="str">
        <x:v>Pam Villa</x:v>
      </x:c>
      <x:c r="E134" s="10" t="str">
        <x:v>Pam Villa</x:v>
      </x:c>
      <x:c r="F134" s="10" t="str">
        <x:v>En progreso</x:v>
      </x:c>
      <x:c r="G134" s="23" t="n">
        <x:v>45951.62604166667</x:v>
      </x:c>
      <x:c r="H134" s="23" t="n">
        <x:v>45952.958333333336</x:v>
      </x:c>
      <x:c r="I134" s="23"/>
      <x:c r="J134" s="10" t="str">
        <x:v>Valery Paredes</x:v>
      </x:c>
      <x:c r="K134" s="10" t="str"/>
      <x:c r="L134" s="10"/>
      <x:c r="M134" s="10" t="str">
        <x:v>F26-07-SHOW</x:v>
      </x:c>
      <x:c r="N134" s="10" t="str">
        <x:v>Programación y marketing</x:v>
      </x:c>
      <x:c r="O134" s="10" t="str">
        <x:v>Shows, artistas y programación bajo embargo</x:v>
      </x:c>
      <x:c r="P134" s="10" t="str">
        <x:v>Convertir con control</x:v>
      </x:c>
      <x:c r="Q134" s="10" t="str">
        <x:v>Alto</x:v>
      </x:c>
      <x:c r="R134" s="10" t="str">
        <x:v>Programación + coordinación comunicación</x:v>
      </x:c>
      <x:c r="S134" s="10" t="str">
        <x:v>Dirección + programación + derechos</x:v>
      </x:c>
      <x:c r="T134" s="10" t="str">
        <x:v>Revelación y conversión</x:v>
      </x:c>
      <x:c r="U134" s="10" t="str">
        <x:v>Contrato, grafía, día, horario, derechos, embargo y oferta confirmados</x:v>
      </x:c>
      <x:c r="V134" s="10" t="str">
        <x:v>No comunicar escasez sin inventario conciliado y evidencia actualizada.</x:v>
      </x:c>
      <x:c r="W134" s="10" t="str">
        <x:v>POST CTA POR SHOW Valery Paredes 1. NOCHE DEL ROCK: ¡rock, energía y pura actitud! Adquiere tus entradas y vive sin límite la Noche del Rock. 2. NOCHE VALLENATA: Juntos, en el megaescenario con el vallenato que se siente ¡Compra tus entradas! 3. NOCHE SUREÑA: Orgullo, tradición y sentimiento. Vive la Noche de Música Sureña. ¡compra tus entradas antes de que se agoten! 4. NOCHE DE CUMBIA: No te quedes fuera del cumbión del año ¡compra tus entradas! 5. NOCHE MÚSICA NACIONAL: ¡Lo nuestros se canta y se disfruta! Compra tus entradas. POST JUEGOS TRADICIONALES Valery Paredes 1. POST GENERAL – JUÉGALE ECUADOR 2025 ¡Diversión y competencia en un solo lugar! Con JUÉGALE, cada juego es una experiencia llena de retos, risas y emoción. Mueve canicas, atrapa peces, trepa tótems y mucho más.. Diversión garantizada para todas las edades CTA ¡JUEGA, RÍE Y GANA!</x:v>
      </x:c>
      <x:c r="X134" s="10" t="str">
        <x:v>No</x:v>
      </x:c>
      <x:c r="Y134" s="10" t="str">
        <x:f>IF(F134&lt;&gt;"Completada","Sin cierre",IF(OR(H134="",I134=""),"Sin dato",IF(I134&lt;=H134,"A tiempo","Tarde")))</x:f>
        <x:v>Sin cierre</x:v>
      </x:c>
      <x:c r="Z134" s="24" t="n">
        <x:f>IF(OR(G134="",H134=""),"",H134-G134)</x:f>
        <x:v>1.3322916666656965</x:v>
      </x:c>
    </x:row>
    <x:row r="135" ht="42" customHeight="1">
      <x:c r="A135" s="10" t="n">
        <x:v>134</x:v>
      </x:c>
      <x:c r="B135" s="10" t="n">
        <x:v>13582</x:v>
      </x:c>
      <x:c r="C135" s="10" t="str">
        <x:v>BOLETERIAS SHOWS FINADOS</x:v>
      </x:c>
      <x:c r="D135" s="10" t="str">
        <x:v>Edwin Naula</x:v>
      </x:c>
      <x:c r="E135" s="10" t="str">
        <x:v>Edwin Naula</x:v>
      </x:c>
      <x:c r="F135" s="10" t="str">
        <x:v>Completada</x:v>
      </x:c>
      <x:c r="G135" s="23" t="n">
        <x:v>45951.96690972222</x:v>
      </x:c>
      <x:c r="H135" s="23" t="n">
        <x:v>45952.958333333336</x:v>
      </x:c>
      <x:c r="I135" s="23" t="n">
        <x:v>45952.97130787037</x:v>
      </x:c>
      <x:c r="J135" s="10" t="str">
        <x:v>Luis Lara, Stalin Flores</x:v>
      </x:c>
      <x:c r="K135" s="10" t="str"/>
      <x:c r="L135" s="10"/>
      <x:c r="M135" s="10" t="str">
        <x:v>F26-05-ENT</x:v>
      </x:c>
      <x:c r="N135" s="10" t="str">
        <x:v>Entradas y conversión</x:v>
      </x:c>
      <x:c r="O135" s="10" t="str">
        <x:v>Preventa, boletería, puntos y disponibilidad</x:v>
      </x:c>
      <x:c r="P135" s="10" t="str">
        <x:v>Convertir con control</x:v>
      </x:c>
      <x:c r="Q135" s="10" t="str">
        <x:v>Alto</x:v>
      </x:c>
      <x:c r="R135" s="10" t="str">
        <x:v>Dueño de entradas/comercial — por asignar</x:v>
      </x:c>
      <x:c r="S135" s="10" t="str">
        <x:v>Dirección + finanzas + operación</x:v>
      </x:c>
      <x:c r="T135" s="10" t="str">
        <x:v>Revelación y preventa</x:v>
      </x:c>
      <x:c r="U135" s="10" t="str">
        <x:v>Oferta, precios, aforo, términos, destino seguro y compra de prueba</x:v>
      </x:c>
      <x:c r="V135" s="10" t="str">
        <x:v>Oferta, precios, aforo, términos, destino seguro y compra de prueba</x:v>
      </x:c>
      <x:c r="W135" s="10" t="str">
        <x:v>Diseño general de boleterías para aplicacion en varias ubicaciones dentro del complejo.</x:v>
      </x:c>
      <x:c r="X135" s="10" t="str">
        <x:v>No</x:v>
      </x:c>
      <x:c r="Y135" s="10" t="str">
        <x:f>IF(F135&lt;&gt;"Completada","Sin cierre",IF(OR(H135="",I135=""),"Sin dato",IF(I135&lt;=H135,"A tiempo","Tarde")))</x:f>
        <x:v>Tarde</x:v>
      </x:c>
      <x:c r="Z135" s="24" t="n">
        <x:f>IF(OR(G135="",H135=""),"",H135-G135)</x:f>
        <x:v>0.9914236111144419</x:v>
      </x:c>
    </x:row>
    <x:row r="136" ht="42" customHeight="1">
      <x:c r="A136" s="10" t="n">
        <x:v>135</x:v>
      </x:c>
      <x:c r="B136" s="10" t="n">
        <x:v>13584</x:v>
      </x:c>
      <x:c r="C136" s="10" t="str">
        <x:v>DISTRIBUCION DE ACCESOS, MAPA Y POLITICAS DE FERIA</x:v>
      </x:c>
      <x:c r="D136" s="10" t="str">
        <x:v>Edwin Naula</x:v>
      </x:c>
      <x:c r="E136" s="10" t="str">
        <x:v>Edwin Naula</x:v>
      </x:c>
      <x:c r="F136" s="10" t="str">
        <x:v>Completada</x:v>
      </x:c>
      <x:c r="G136" s="23" t="n">
        <x:v>45951.96802083333</x:v>
      </x:c>
      <x:c r="H136" s="23" t="n">
        <x:v>45953.958333333336</x:v>
      </x:c>
      <x:c r="I136" s="23" t="n">
        <x:v>45954.076157407406</x:v>
      </x:c>
      <x:c r="J136" s="10" t="str">
        <x:v>Luis Lara, Stalin Flores</x:v>
      </x:c>
      <x:c r="K136" s="10" t="str"/>
      <x:c r="L136" s="10"/>
      <x:c r="M136" s="10" t="str">
        <x:v>F26-13-SERV</x:v>
      </x:c>
      <x:c r="N136" s="10" t="str">
        <x:v>Servicio, movilidad e información</x:v>
      </x:c>
      <x:c r="O136" s="10" t="str">
        <x:v>Mapa, guía móvil, accesos, parqueaderos, transporte y FAQ</x:v>
      </x:c>
      <x:c r="P136" s="10" t="str">
        <x:v>Convertir con control</x:v>
      </x:c>
      <x:c r="Q136" s="10" t="str">
        <x:v>Alto</x:v>
      </x:c>
      <x:c r="R136" s="10" t="str">
        <x:v>Operación/servicio + tecnología — por asignar</x:v>
      </x:c>
      <x:c r="S136" s="10" t="str">
        <x:v>Operación + seguridad + dirección</x:v>
      </x:c>
      <x:c r="T136" s="10" t="str">
        <x:v>Conversión y vivo</x:v>
      </x:c>
      <x:c r="U136" s="10" t="str">
        <x:v>Plano, capacidades, rutas, políticas y responsables validados</x:v>
      </x:c>
      <x:c r="V136" s="10" t="str">
        <x:v>Plano, capacidades, rutas, políticas y responsables validados</x:v>
      </x:c>
      <x:c r="W136" s="10" t="str">
        <x:v>Diseño de Mapa ACCESOS Y POLITICAS DE FERIA para impresión y comunicación interna</x:v>
      </x:c>
      <x:c r="X136" s="10" t="str">
        <x:v>No</x:v>
      </x:c>
      <x:c r="Y136" s="10" t="str">
        <x:f>IF(F136&lt;&gt;"Completada","Sin cierre",IF(OR(H136="",I136=""),"Sin dato",IF(I136&lt;=H136,"A tiempo","Tarde")))</x:f>
        <x:v>Tarde</x:v>
      </x:c>
      <x:c r="Z136" s="24" t="n">
        <x:f>IF(OR(G136="",H136=""),"",H136-G136)</x:f>
        <x:v>1.9903125000055297</x:v>
      </x:c>
    </x:row>
    <x:row r="137" ht="42" customHeight="1">
      <x:c r="A137" s="10" t="n">
        <x:v>136</x:v>
      </x:c>
      <x:c r="B137" s="10" t="n">
        <x:v>13586</x:v>
      </x:c>
      <x:c r="C137" s="10" t="str">
        <x:v>Giras de medios Guaranda</x:v>
      </x:c>
      <x:c r="D137" s="10" t="str">
        <x:v>Edwin Masa Sisa (identidad por confirmar)</x:v>
      </x:c>
      <x:c r="E137" s="10" t="str">
        <x:v>Edwin Masa Sisa (identidad por confirmar)</x:v>
      </x:c>
      <x:c r="F137" s="10" t="str">
        <x:v>Completada</x:v>
      </x:c>
      <x:c r="G137" s="23" t="n">
        <x:v>45952.57729166667</x:v>
      </x:c>
      <x:c r="H137" s="23" t="n">
        <x:v>45954.958333333336</x:v>
      </x:c>
      <x:c r="I137" s="23" t="n">
        <x:v>45955.58122685185</x:v>
      </x:c>
      <x:c r="J137" s="10" t="str"/>
      <x:c r="K137" s="10" t="str"/>
      <x:c r="L137" s="10"/>
      <x:c r="M137" s="10" t="str">
        <x:v>F26-10-PR</x:v>
      </x:c>
      <x:c r="N137" s="10" t="str">
        <x:v>Relaciones públicas</x:v>
      </x:c>
      <x:c r="O137" s="10" t="str">
        <x:v>Prensa, radios, giras y vocerías</x:v>
      </x:c>
      <x:c r="P137" s="10" t="str">
        <x:v>Convertir con control</x:v>
      </x:c>
      <x:c r="Q137" s="10" t="str">
        <x:v>Medio</x:v>
      </x:c>
      <x:c r="R137" s="10" t="str">
        <x:v>Relaciones públicas — Are Morales</x:v>
      </x:c>
      <x:c r="S137" s="10" t="str">
        <x:v>Dirección + vocero autorizado</x:v>
      </x:c>
      <x:c r="T137" s="10" t="str">
        <x:v>Revelación y conversión</x:v>
      </x:c>
      <x:c r="U137" s="10" t="str">
        <x:v>Mensajes, agenda, vocero, ficha factual y monitoreo aprobados</x:v>
      </x:c>
      <x:c r="V137" s="10" t="str">
        <x:v>Mensajes, agenda, vocero, ficha factual y monitoreo aprobados</x:v>
      </x:c>
      <x:c r="W137" s="10" t="str">
        <x:v>Generar giras de medios Guaranda y Puyo</x:v>
      </x:c>
      <x:c r="X137" s="10" t="str">
        <x:v>No</x:v>
      </x:c>
      <x:c r="Y137" s="10" t="str">
        <x:f>IF(F137&lt;&gt;"Completada","Sin cierre",IF(OR(H137="",I137=""),"Sin dato",IF(I137&lt;=H137,"A tiempo","Tarde")))</x:f>
        <x:v>Tarde</x:v>
      </x:c>
      <x:c r="Z137" s="24" t="n">
        <x:f>IF(OR(G137="",H137=""),"",H137-G137)</x:f>
        <x:v>2.3810416666674428</x:v>
      </x:c>
    </x:row>
    <x:row r="138" ht="42" customHeight="1">
      <x:c r="A138" s="10" t="n">
        <x:v>137</x:v>
      </x:c>
      <x:c r="B138" s="10" t="n">
        <x:v>13588</x:v>
      </x:c>
      <x:c r="C138" s="10" t="str">
        <x:v>Streaming Paolo Ladino</x:v>
      </x:c>
      <x:c r="D138" s="10" t="str">
        <x:v>Edwin Masa Sisa (identidad por confirmar)</x:v>
      </x:c>
      <x:c r="E138" s="10" t="str">
        <x:v>Zeus Producciones</x:v>
      </x:c>
      <x:c r="F138" s="10" t="str">
        <x:v>Completada</x:v>
      </x:c>
      <x:c r="G138" s="23" t="n">
        <x:v>45952.58194444444</x:v>
      </x:c>
      <x:c r="H138" s="23" t="n">
        <x:v>45953.958333333336</x:v>
      </x:c>
      <x:c r="I138" s="23" t="n">
        <x:v>45957.56800925926</x:v>
      </x:c>
      <x:c r="J138" s="10" t="str">
        <x:v>Alex Naranjo, Luis Lara, Pam Villa, Zeus Producciones, Sonia Estrella, Leo Sailema, Stalin Loaiza, William Mungabusi</x:v>
      </x:c>
      <x:c r="K138" s="10" t="str"/>
      <x:c r="L138" s="10"/>
      <x:c r="M138" s="10" t="str">
        <x:v>F26-09-CREA</x:v>
      </x:c>
      <x:c r="N138" s="10" t="str">
        <x:v>Creadores y comunidad</x:v>
      </x:c>
      <x:c r="O138" s="10" t="str">
        <x:v>Influencers, embajadores y referidos</x:v>
      </x:c>
      <x:c r="P138" s="10" t="str">
        <x:v>Convertir con control</x:v>
      </x:c>
      <x:c r="Q138" s="10" t="str">
        <x:v>Medio</x:v>
      </x:c>
      <x:c r="R138" s="10" t="str">
        <x:v>Coordinación comunicación + relaciones públicas</x:v>
      </x:c>
      <x:c r="S138" s="10" t="str">
        <x:v>Dirección de marketing + legal/finanzas cuando aplique</x:v>
      </x:c>
      <x:c r="T138" s="10" t="str">
        <x:v>Expectativa y conversión</x:v>
      </x:c>
      <x:c r="U138" s="10" t="str">
        <x:v>Brief, derechos, selección, compensación fija y evidencia verificable</x:v>
      </x:c>
      <x:c r="V138" s="10" t="str">
        <x:v>Brief, derechos, selección, compensación fija y evidencia verificable</x:v>
      </x:c>
      <x:c r="W138" s="10" t="str">
        <x:v>capturar la atencion de una audiencia apalancados de la influencia del personaje "paolo ladino" que se presentara como ancord en un formato de programa de entrevista ireverente y a tono ligero comico con el ab luis alfonso chango mentos de la 5ta feria fiandos 2025 donde se pondra en practica dinamicas relacionadas con los atractivos de feria y juegos tradicionales el programa se llamaria "MUSHUC LIVE CON PAOLO"que se emitira po la pagina ofical de feria finados tic toc y la pagina oficias de mushuc tv en facebook y youtube. se debera cordinar elementos u objetos que den realce a la conversacion ejemplo : trompo, colada morada y guaguas de pan etc. Antesala de feria por Mushuc Tv con la participación del Ab. Luis Alfonso Chango en complejo Mushuc Runa a las 12h00 DINAMICA 1 - SI TE RIES PIERDES PENITENCIA SE LANZA DE LA RESVALADERA DINAMICA 2 - NO DIGAS SI O NO DIGAS NO - NARRAR COMO COMENTARISTA DE FUTBOL UNA INVITACION A LA FERIA DE FINADOS 2025 DINAMICA 3 - PARAME LA MANO - master switch: andres naula drone: ext juan segura jefe tecnico: ivan solano asistente: william mungabusi presentador: sonia estrella jefe de piso: leonardo sailema dj: ext alexso freire</x:v>
      </x:c>
      <x:c r="X138" s="10" t="str">
        <x:v>No</x:v>
      </x:c>
      <x:c r="Y138" s="10" t="str">
        <x:f>IF(F138&lt;&gt;"Completada","Sin cierre",IF(OR(H138="",I138=""),"Sin dato",IF(I138&lt;=H138,"A tiempo","Tarde")))</x:f>
        <x:v>Tarde</x:v>
      </x:c>
      <x:c r="Z138" s="24" t="n">
        <x:f>IF(OR(G138="",H138=""),"",H138-G138)</x:f>
        <x:v>1.3763888888934162</x:v>
      </x:c>
    </x:row>
    <x:row r="139" ht="42" customHeight="1">
      <x:c r="A139" s="10" t="n">
        <x:v>138</x:v>
      </x:c>
      <x:c r="B139" s="10" t="n">
        <x:v>13590</x:v>
      </x:c>
      <x:c r="C139" s="10" t="str">
        <x:v>Gira de medios Danny Pilamunga</x:v>
      </x:c>
      <x:c r="D139" s="10" t="str">
        <x:v>Isabela Orozco</x:v>
      </x:c>
      <x:c r="E139" s="10" t="str">
        <x:v>Isabela Orozco</x:v>
      </x:c>
      <x:c r="F139" s="10" t="str">
        <x:v>Completada</x:v>
      </x:c>
      <x:c r="G139" s="23" t="n">
        <x:v>45952.58403935185</x:v>
      </x:c>
      <x:c r="H139" s="23" t="n">
        <x:v>45959.958333333336</x:v>
      </x:c>
      <x:c r="I139" s="23" t="n">
        <x:v>45955.58216435185</x:v>
      </x:c>
      <x:c r="J139" s="10" t="str">
        <x:v>Pam Villa, Valery Paredes, Isabela Orozco</x:v>
      </x:c>
      <x:c r="K139" s="10" t="str"/>
      <x:c r="L139" s="10"/>
      <x:c r="M139" s="10" t="str">
        <x:v>F26-10-PR</x:v>
      </x:c>
      <x:c r="N139" s="10" t="str">
        <x:v>Relaciones públicas</x:v>
      </x:c>
      <x:c r="O139" s="10" t="str">
        <x:v>Prensa, radios, giras y vocerías</x:v>
      </x:c>
      <x:c r="P139" s="10" t="str">
        <x:v>Convertir con control</x:v>
      </x:c>
      <x:c r="Q139" s="10" t="str">
        <x:v>Medio</x:v>
      </x:c>
      <x:c r="R139" s="10" t="str">
        <x:v>Relaciones públicas — Are Morales</x:v>
      </x:c>
      <x:c r="S139" s="10" t="str">
        <x:v>Dirección + vocero autorizado</x:v>
      </x:c>
      <x:c r="T139" s="10" t="str">
        <x:v>Revelación y conversión</x:v>
      </x:c>
      <x:c r="U139" s="10" t="str">
        <x:v>Mensajes, agenda, vocero, ficha factual y monitoreo aprobados</x:v>
      </x:c>
      <x:c r="V139" s="10" t="str">
        <x:v>Mensajes, agenda, vocero, ficha factual y monitoreo aprobados</x:v>
      </x:c>
      <x:c r="W139" s="10" t="str">
        <x:v>Gira de medios en la ciudad de Puyo de Danny Pilamunga</x:v>
      </x:c>
      <x:c r="X139" s="10" t="str">
        <x:v>No</x:v>
      </x:c>
      <x:c r="Y139" s="10" t="str">
        <x:f>IF(F139&lt;&gt;"Completada","Sin cierre",IF(OR(H139="",I139=""),"Sin dato",IF(I139&lt;=H139,"A tiempo","Tarde")))</x:f>
        <x:v>A tiempo</x:v>
      </x:c>
      <x:c r="Z139" s="24" t="n">
        <x:f>IF(OR(G139="",H139=""),"",H139-G139)</x:f>
        <x:v>7.374293981483788</x:v>
      </x:c>
    </x:row>
    <x:row r="140" ht="42" customHeight="1">
      <x:c r="A140" s="10" t="n">
        <x:v>139</x:v>
      </x:c>
      <x:c r="B140" s="10" t="n">
        <x:v>13592</x:v>
      </x:c>
      <x:c r="C140" s="10" t="str">
        <x:v>Programación de la inauguración</x:v>
      </x:c>
      <x:c r="D140" s="10" t="str">
        <x:v>Isabela Orozco</x:v>
      </x:c>
      <x:c r="E140" s="10" t="str">
        <x:v>Edwin Masa Sisa (identidad por confirmar)</x:v>
      </x:c>
      <x:c r="F140" s="10" t="str">
        <x:v>Completada</x:v>
      </x:c>
      <x:c r="G140" s="23" t="n">
        <x:v>45952.58925925926</x:v>
      </x:c>
      <x:c r="H140" s="23" t="n">
        <x:v>45952.958333333336</x:v>
      </x:c>
      <x:c r="I140" s="23" t="n">
        <x:v>45957.596342592595</x:v>
      </x:c>
      <x:c r="J140" s="10" t="str">
        <x:v>Luis Lara, Pam Villa, Stalin Flores, Valery Paredes, Sonia Estrella, Edwin Masa Sisa (identidad por confirmar), Stalin Loaiza</x:v>
      </x:c>
      <x:c r="K140" s="10" t="str"/>
      <x:c r="L140" s="10"/>
      <x:c r="M140" s="10" t="str">
        <x:v>F26-01-GOB</x:v>
      </x:c>
      <x:c r="N140" s="10" t="str">
        <x:v>Dirección y control</x:v>
      </x:c>
      <x:c r="O140" s="10" t="str">
        <x:v>Gobierno, planificación y aprobaciones</x:v>
      </x:c>
      <x:c r="P140" s="10" t="str">
        <x:v>Consolidar en paquete 2026</x:v>
      </x:c>
      <x:c r="Q140" s="10" t="str">
        <x:v>Medio</x:v>
      </x:c>
      <x:c r="R140" s="10" t="str">
        <x:v>Coordinación general de marketing — Edwin Masabanda</x:v>
      </x:c>
      <x:c r="S140" s="10" t="str">
        <x:v>Dirección de marketing — Andrés Naranjo</x:v>
      </x:c>
      <x:c r="T140" s="10" t="str">
        <x:v>Preparación interna</x:v>
      </x:c>
      <x:c r="U140" s="10" t="str">
        <x:v>RACI ratificado, fecha confirmada y fuente única vigente</x:v>
      </x:c>
      <x:c r="V140" s="10" t="str">
        <x:v>Evitar microtareas ad hoc; trabajar desde un brief, plantilla, dueño y fecha de aprobación.</x:v>
      </x:c>
      <x:c r="W140" s="10" t="str">
        <x:v>Desarrollar la programación de la inauguración, requerimientos, Logística, presentadores, trasmisión, horarios, invitados.</x:v>
      </x:c>
      <x:c r="X140" s="10" t="str">
        <x:v>No</x:v>
      </x:c>
      <x:c r="Y140" s="10" t="str">
        <x:f>IF(F140&lt;&gt;"Completada","Sin cierre",IF(OR(H140="",I140=""),"Sin dato",IF(I140&lt;=H140,"A tiempo","Tarde")))</x:f>
        <x:v>Tarde</x:v>
      </x:c>
      <x:c r="Z140" s="24" t="n">
        <x:f>IF(OR(G140="",H140=""),"",H140-G140)</x:f>
        <x:v>0.3690740740785259</x:v>
      </x:c>
    </x:row>
    <x:row r="141" ht="42" customHeight="1">
      <x:c r="A141" s="10" t="n">
        <x:v>140</x:v>
      </x:c>
      <x:c r="B141" s="10" t="n">
        <x:v>13594</x:v>
      </x:c>
      <x:c r="C141" s="10" t="str">
        <x:v>Grabación Casa de la Cultura</x:v>
      </x:c>
      <x:c r="D141" s="10" t="str">
        <x:v>Diego Flores (grafía por confirmar)</x:v>
      </x:c>
      <x:c r="E141" s="10" t="str">
        <x:v>Edwin Masa Sisa (identidad por confirmar)</x:v>
      </x:c>
      <x:c r="F141" s="10" t="str">
        <x:v>Completada</x:v>
      </x:c>
      <x:c r="G141" s="23" t="n">
        <x:v>45952.59486111111</x:v>
      </x:c>
      <x:c r="H141" s="23" t="n">
        <x:v>45953.958333333336</x:v>
      </x:c>
      <x:c r="I141" s="23" t="n">
        <x:v>45954.62420138889</x:v>
      </x:c>
      <x:c r="J141" s="10" t="str"/>
      <x:c r="K141" s="10" t="str"/>
      <x:c r="L141" s="10"/>
      <x:c r="M141" s="10" t="str">
        <x:v>F26-12-AV</x:v>
      </x:c>
      <x:c r="N141" s="10" t="str">
        <x:v>Producción audiovisual</x:v>
      </x:c>
      <x:c r="O141" s="10" t="str">
        <x:v>Rodajes, entrevistas, streaming y entregables</x:v>
      </x:c>
      <x:c r="P141" s="10" t="str">
        <x:v>Convertir con control</x:v>
      </x:c>
      <x:c r="Q141" s="10" t="str">
        <x:v>Medio</x:v>
      </x:c>
      <x:c r="R141" s="10" t="str">
        <x:v>Coordinación diseño/audiovisual — Andrés Naula</x:v>
      </x:c>
      <x:c r="S141" s="10" t="str">
        <x:v>Coordinación general + dirección de marketing</x:v>
      </x:c>
      <x:c r="T141" s="10" t="str">
        <x:v>Expectativa, conversión y vivo</x:v>
      </x:c>
      <x:c r="U141" s="10" t="str">
        <x:v>Guion, derechos, agenda, scouting, equipo y plan técnico aprobados</x:v>
      </x:c>
      <x:c r="V141" s="10" t="str">
        <x:v>Guion, derechos, agenda, scouting, equipo y plan técnico aprobados</x:v>
      </x:c>
      <x:c r="W141" s="10" t="str">
        <x:v>Desarrollo de contenidos con títeres, payasos, actividades planificadas por la casa de la cultuxra</x:v>
      </x:c>
      <x:c r="X141" s="10" t="str">
        <x:v>No</x:v>
      </x:c>
      <x:c r="Y141" s="10" t="str">
        <x:f>IF(F141&lt;&gt;"Completada","Sin cierre",IF(OR(H141="",I141=""),"Sin dato",IF(I141&lt;=H141,"A tiempo","Tarde")))</x:f>
        <x:v>Tarde</x:v>
      </x:c>
      <x:c r="Z141" s="24" t="n">
        <x:f>IF(OR(G141="",H141=""),"",H141-G141)</x:f>
        <x:v>1.3634722222268465</x:v>
      </x:c>
    </x:row>
    <x:row r="142" ht="42" customHeight="1">
      <x:c r="A142" s="10" t="n">
        <x:v>141</x:v>
      </x:c>
      <x:c r="B142" s="10" t="n">
        <x:v>13596</x:v>
      </x:c>
      <x:c r="C142" s="10" t="str">
        <x:v>Generación de contenidos con Influencers</x:v>
      </x:c>
      <x:c r="D142" s="10" t="str">
        <x:v>Pam Villa</x:v>
      </x:c>
      <x:c r="E142" s="10" t="str">
        <x:v>Edwin Masa Sisa (identidad por confirmar)</x:v>
      </x:c>
      <x:c r="F142" s="10" t="str">
        <x:v>Completada</x:v>
      </x:c>
      <x:c r="G142" s="23" t="n">
        <x:v>45952.602175925924</x:v>
      </x:c>
      <x:c r="H142" s="23" t="n">
        <x:v>45953.583333333336</x:v>
      </x:c>
      <x:c r="I142" s="23" t="n">
        <x:v>45953.61722222222</x:v>
      </x:c>
      <x:c r="J142" s="10" t="str"/>
      <x:c r="K142" s="10" t="str"/>
      <x:c r="L142" s="10"/>
      <x:c r="M142" s="10" t="str">
        <x:v>F26-09-CREA</x:v>
      </x:c>
      <x:c r="N142" s="10" t="str">
        <x:v>Creadores y comunidad</x:v>
      </x:c>
      <x:c r="O142" s="10" t="str">
        <x:v>Influencers, embajadores y referidos</x:v>
      </x:c>
      <x:c r="P142" s="10" t="str">
        <x:v>Convertir con control</x:v>
      </x:c>
      <x:c r="Q142" s="10" t="str">
        <x:v>Medio</x:v>
      </x:c>
      <x:c r="R142" s="10" t="str">
        <x:v>Coordinación comunicación + relaciones públicas</x:v>
      </x:c>
      <x:c r="S142" s="10" t="str">
        <x:v>Dirección de marketing + legal/finanzas cuando aplique</x:v>
      </x:c>
      <x:c r="T142" s="10" t="str">
        <x:v>Expectativa y conversión</x:v>
      </x:c>
      <x:c r="U142" s="10" t="str">
        <x:v>Brief, derechos, selección, compensación fija y evidencia verificable</x:v>
      </x:c>
      <x:c r="V142" s="10" t="str">
        <x:v>Brief, derechos, selección, compensación fija y evidencia verificable</x:v>
      </x:c>
      <x:c r="W142" s="10" t="str">
        <x:v>Desarrollo de contenidos con influencers Deneb Solís Paolo Ladino Reina de Ambato</x:v>
      </x:c>
      <x:c r="X142" s="10" t="str">
        <x:v>No</x:v>
      </x:c>
      <x:c r="Y142" s="10" t="str">
        <x:f>IF(F142&lt;&gt;"Completada","Sin cierre",IF(OR(H142="",I142=""),"Sin dato",IF(I142&lt;=H142,"A tiempo","Tarde")))</x:f>
        <x:v>Tarde</x:v>
      </x:c>
      <x:c r="Z142" s="24" t="n">
        <x:f>IF(OR(G142="",H142=""),"",H142-G142)</x:f>
        <x:v>0.9811574074119562</x:v>
      </x:c>
    </x:row>
    <x:row r="143" ht="42" customHeight="1">
      <x:c r="A143" s="10" t="n">
        <x:v>142</x:v>
      </x:c>
      <x:c r="B143" s="10" t="n">
        <x:v>13598</x:v>
      </x:c>
      <x:c r="C143" s="10" t="str">
        <x:v>Gira de medios Daniel Pilamunga</x:v>
      </x:c>
      <x:c r="D143" s="10" t="str">
        <x:v>Isabela Orozco</x:v>
      </x:c>
      <x:c r="E143" s="10" t="str">
        <x:v>Isabela Orozco</x:v>
      </x:c>
      <x:c r="F143" s="10" t="str">
        <x:v>Completada</x:v>
      </x:c>
      <x:c r="G143" s="23" t="n">
        <x:v>45952.58770833333</x:v>
      </x:c>
      <x:c r="H143" s="23"/>
      <x:c r="I143" s="23" t="n">
        <x:v>45955.58526620371</x:v>
      </x:c>
      <x:c r="J143" s="10" t="str"/>
      <x:c r="K143" s="10" t="str"/>
      <x:c r="L143" s="10"/>
      <x:c r="M143" s="10" t="str">
        <x:v>F26-10-PR</x:v>
      </x:c>
      <x:c r="N143" s="10" t="str">
        <x:v>Relaciones públicas</x:v>
      </x:c>
      <x:c r="O143" s="10" t="str">
        <x:v>Prensa, radios, giras y vocerías</x:v>
      </x:c>
      <x:c r="P143" s="10" t="str">
        <x:v>Convertir con control</x:v>
      </x:c>
      <x:c r="Q143" s="10" t="str">
        <x:v>Medio</x:v>
      </x:c>
      <x:c r="R143" s="10" t="str">
        <x:v>Relaciones públicas — Are Morales</x:v>
      </x:c>
      <x:c r="S143" s="10" t="str">
        <x:v>Dirección + vocero autorizado</x:v>
      </x:c>
      <x:c r="T143" s="10" t="str">
        <x:v>Revelación y conversión</x:v>
      </x:c>
      <x:c r="U143" s="10" t="str">
        <x:v>Mensajes, agenda, vocero, ficha factual y monitoreo aprobados</x:v>
      </x:c>
      <x:c r="V143" s="10" t="str">
        <x:v>Mensajes, agenda, vocero, ficha factual y monitoreo aprobados</x:v>
      </x:c>
      <x:c r="W143" s="10" t="str"/>
      <x:c r="X143" s="10" t="str">
        <x:v>No</x:v>
      </x:c>
      <x:c r="Y143" s="10" t="str">
        <x:f>IF(F143&lt;&gt;"Completada","Sin cierre",IF(OR(H143="",I143=""),"Sin dato",IF(I143&lt;=H143,"A tiempo","Tarde")))</x:f>
        <x:v>Sin dato</x:v>
      </x:c>
      <x:c r="Z143" s="24" t="str">
        <x:f>IF(OR(G143="",H143=""),"",H143-G143)</x:f>
      </x:c>
    </x:row>
    <x:row r="144" ht="42" customHeight="1">
      <x:c r="A144" s="10" t="n">
        <x:v>143</x:v>
      </x:c>
      <x:c r="B144" s="10" t="n">
        <x:v>13600</x:v>
      </x:c>
      <x:c r="C144" s="10" t="str">
        <x:v>TEXTOS PARA INVITACION DIGITAL A MEDIOS DE COMUNICACION - IANUGURACION</x:v>
      </x:c>
      <x:c r="D144" s="10" t="str">
        <x:v>Edwin Naula</x:v>
      </x:c>
      <x:c r="E144" s="10" t="str">
        <x:v>Edwin Naula</x:v>
      </x:c>
      <x:c r="F144" s="10" t="str">
        <x:v>Completada</x:v>
      </x:c>
      <x:c r="G144" s="23" t="n">
        <x:v>45952.70395833333</x:v>
      </x:c>
      <x:c r="H144" s="23" t="n">
        <x:v>45953.958333333336</x:v>
      </x:c>
      <x:c r="I144" s="23" t="n">
        <x:v>45952.98054398148</x:v>
      </x:c>
      <x:c r="J144" s="10" t="str">
        <x:v>Valery Paredes, Diego Flores (grafía por confirmar), Isabela Orozco</x:v>
      </x:c>
      <x:c r="K144" s="10" t="str"/>
      <x:c r="L144" s="10"/>
      <x:c r="M144" s="10" t="str">
        <x:v>F26-10-PR</x:v>
      </x:c>
      <x:c r="N144" s="10" t="str">
        <x:v>Relaciones públicas</x:v>
      </x:c>
      <x:c r="O144" s="10" t="str">
        <x:v>Prensa, radios, giras y vocerías</x:v>
      </x:c>
      <x:c r="P144" s="10" t="str">
        <x:v>Convertir con control</x:v>
      </x:c>
      <x:c r="Q144" s="10" t="str">
        <x:v>Medio</x:v>
      </x:c>
      <x:c r="R144" s="10" t="str">
        <x:v>Relaciones públicas — Are Morales</x:v>
      </x:c>
      <x:c r="S144" s="10" t="str">
        <x:v>Dirección + vocero autorizado</x:v>
      </x:c>
      <x:c r="T144" s="10" t="str">
        <x:v>Revelación y conversión</x:v>
      </x:c>
      <x:c r="U144" s="10" t="str">
        <x:v>Mensajes, agenda, vocero, ficha factual y monitoreo aprobados</x:v>
      </x:c>
      <x:c r="V144" s="10" t="str">
        <x:v>Mensajes, agenda, vocero, ficha factual y monitoreo aprobados</x:v>
      </x:c>
      <x:c r="W144" s="10" t="str">
        <x:v>Realizar el texto IN de invitación a los medios de comunicación a la INAUGURACIÒN OFICIAL FINADOS, adjuntarlo a Valeria y revisarlo</x:v>
      </x:c>
      <x:c r="X144" s="10" t="str">
        <x:v>No</x:v>
      </x:c>
      <x:c r="Y144" s="10" t="str">
        <x:f>IF(F144&lt;&gt;"Completada","Sin cierre",IF(OR(H144="",I144=""),"Sin dato",IF(I144&lt;=H144,"A tiempo","Tarde")))</x:f>
        <x:v>A tiempo</x:v>
      </x:c>
      <x:c r="Z144" s="24" t="n">
        <x:f>IF(OR(G144="",H144=""),"",H144-G144)</x:f>
        <x:v>1.2543750000040745</x:v>
      </x:c>
    </x:row>
    <x:row r="145" ht="42" customHeight="1">
      <x:c r="A145" s="10" t="n">
        <x:v>144</x:v>
      </x:c>
      <x:c r="B145" s="10" t="n">
        <x:v>13602</x:v>
      </x:c>
      <x:c r="C145" s="10" t="str">
        <x:v>POSTEO RETRO BAND</x:v>
      </x:c>
      <x:c r="D145" s="10" t="str">
        <x:v>Edwin Naula</x:v>
      </x:c>
      <x:c r="E145" s="10" t="str">
        <x:v>Edwin Naula</x:v>
      </x:c>
      <x:c r="F145" s="10" t="str">
        <x:v>Completada</x:v>
      </x:c>
      <x:c r="G145" s="23" t="n">
        <x:v>45952.92020833334</x:v>
      </x:c>
      <x:c r="H145" s="23" t="n">
        <x:v>45957.958333333336</x:v>
      </x:c>
      <x:c r="I145" s="23" t="n">
        <x:v>45957.529074074075</x:v>
      </x:c>
      <x:c r="J145" s="10" t="str"/>
      <x:c r="K145" s="10" t="str"/>
      <x:c r="L145" s="10"/>
      <x:c r="M145" s="10" t="str">
        <x:v>F26-06-CONT</x:v>
      </x:c>
      <x:c r="N145" s="10" t="str">
        <x:v>Marketing y comunicación</x:v>
      </x:c>
      <x:c r="O145" s="10" t="str">
        <x:v>Sistema editorial, redes y piezas recurrentes</x:v>
      </x:c>
      <x:c r="P145" s="10" t="str">
        <x:v>Consolidar en paquete 2026</x:v>
      </x:c>
      <x:c r="Q145" s="10" t="str">
        <x:v>Medio</x:v>
      </x:c>
      <x:c r="R145" s="10" t="str">
        <x:v>Coordinación comunicación — Andrés (apellido por confirmar)</x:v>
      </x:c>
      <x:c r="S145" s="10" t="str">
        <x:v>Dirección de marketing — Andrés Naranjo</x:v>
      </x:c>
      <x:c r="T145" s="10" t="str">
        <x:v>Expectativa y conversión</x:v>
      </x:c>
      <x:c r="U145" s="10" t="str">
        <x:v>Brief, fuente vigente, CTA verificable y QA antes de publicar</x:v>
      </x:c>
      <x:c r="V145" s="10" t="str">
        <x:v>Evitar microtareas ad hoc; trabajar desde un brief, plantilla, dueño y fecha de aprobación.</x:v>
      </x:c>
      <x:c r="W145" s="10" t="str">
        <x:v>Posteo de partiipaciòn de retro band en la plaza del sol</x:v>
      </x:c>
      <x:c r="X145" s="10" t="str">
        <x:v>No</x:v>
      </x:c>
      <x:c r="Y145" s="10" t="str">
        <x:f>IF(F145&lt;&gt;"Completada","Sin cierre",IF(OR(H145="",I145=""),"Sin dato",IF(I145&lt;=H145,"A tiempo","Tarde")))</x:f>
        <x:v>A tiempo</x:v>
      </x:c>
      <x:c r="Z145" s="24" t="n">
        <x:f>IF(OR(G145="",H145=""),"",H145-G145)</x:f>
        <x:v>5.038124999999127</x:v>
      </x:c>
    </x:row>
    <x:row r="146" ht="42" customHeight="1">
      <x:c r="A146" s="10" t="n">
        <x:v>145</x:v>
      </x:c>
      <x:c r="B146" s="10" t="n">
        <x:v>13604</x:v>
      </x:c>
      <x:c r="C146" s="10" t="str">
        <x:v>SEÑALETICAS INTERNAS FERIA INGRESOS</x:v>
      </x:c>
      <x:c r="D146" s="10" t="str">
        <x:v>Edwin Naula</x:v>
      </x:c>
      <x:c r="E146" s="10" t="str">
        <x:v>Edwin Naula</x:v>
      </x:c>
      <x:c r="F146" s="10" t="str">
        <x:v>Completada</x:v>
      </x:c>
      <x:c r="G146" s="23" t="n">
        <x:v>45952.97162037037</x:v>
      </x:c>
      <x:c r="H146" s="23" t="n">
        <x:v>45953.958333333336</x:v>
      </x:c>
      <x:c r="I146" s="23" t="n">
        <x:v>45952.97263888889</x:v>
      </x:c>
      <x:c r="J146" s="10" t="str">
        <x:v>Stalin Flores</x:v>
      </x:c>
      <x:c r="K146" s="10" t="str"/>
      <x:c r="L146" s="10"/>
      <x:c r="M146" s="10" t="str">
        <x:v>F26-14-OPS</x:v>
      </x:c>
      <x:c r="N146" s="10" t="str">
        <x:v>Operación en sitio</x:v>
      </x:c>
      <x:c r="O146" s="10" t="str">
        <x:v>Credenciales, señalética, pantallas, espacios y materiales</x:v>
      </x:c>
      <x:c r="P146" s="10" t="str">
        <x:v>Convertir con control</x:v>
      </x:c>
      <x:c r="Q146" s="10" t="str">
        <x:v>Medio</x:v>
      </x:c>
      <x:c r="R146" s="10" t="str">
        <x:v>Producción — Iván (apellido por confirmar) + Leo Sailema</x:v>
      </x:c>
      <x:c r="S146" s="10" t="str">
        <x:v>Operación/seguridad + coordinación general</x:v>
      </x:c>
      <x:c r="T146" s="10" t="str">
        <x:v>Preparación final y vivo</x:v>
      </x:c>
      <x:c r="U146" s="10" t="str">
        <x:v>Plano final, inventario, medidas, responsables y prueba de montaje</x:v>
      </x:c>
      <x:c r="V146" s="10" t="str">
        <x:v>Plano final, inventario, medidas, responsables y prueba de montaje</x:v>
      </x:c>
      <x:c r="W146" s="10" t="str"/>
      <x:c r="X146" s="10" t="str">
        <x:v>No</x:v>
      </x:c>
      <x:c r="Y146" s="10" t="str">
        <x:f>IF(F146&lt;&gt;"Completada","Sin cierre",IF(OR(H146="",I146=""),"Sin dato",IF(I146&lt;=H146,"A tiempo","Tarde")))</x:f>
        <x:v>A tiempo</x:v>
      </x:c>
      <x:c r="Z146" s="24" t="n">
        <x:f>IF(OR(G146="",H146=""),"",H146-G146)</x:f>
        <x:v>0.986712962963793</x:v>
      </x:c>
    </x:row>
    <x:row r="147" ht="42" customHeight="1">
      <x:c r="A147" s="10" t="n">
        <x:v>146</x:v>
      </x:c>
      <x:c r="B147" s="10" t="n">
        <x:v>13606</x:v>
      </x:c>
      <x:c r="C147" s="10" t="str">
        <x:v>DISEÑO DE GAFETES PARA FERIA</x:v>
      </x:c>
      <x:c r="D147" s="10" t="str">
        <x:v>Edwin Naula</x:v>
      </x:c>
      <x:c r="E147" s="10" t="str">
        <x:v>Edwin Naula</x:v>
      </x:c>
      <x:c r="F147" s="10" t="str">
        <x:v>Completada</x:v>
      </x:c>
      <x:c r="G147" s="23" t="n">
        <x:v>45952.97255787037</x:v>
      </x:c>
      <x:c r="H147" s="23" t="n">
        <x:v>45952.979166666664</x:v>
      </x:c>
      <x:c r="I147" s="23" t="n">
        <x:v>45952.97361111111</x:v>
      </x:c>
      <x:c r="J147" s="10" t="str">
        <x:v>Stalin Flores</x:v>
      </x:c>
      <x:c r="K147" s="10" t="str"/>
      <x:c r="L147" s="10"/>
      <x:c r="M147" s="10" t="str">
        <x:v>F26-14-OPS</x:v>
      </x:c>
      <x:c r="N147" s="10" t="str">
        <x:v>Operación en sitio</x:v>
      </x:c>
      <x:c r="O147" s="10" t="str">
        <x:v>Credenciales, señalética, pantallas, espacios y materiales</x:v>
      </x:c>
      <x:c r="P147" s="10" t="str">
        <x:v>Convertir con control</x:v>
      </x:c>
      <x:c r="Q147" s="10" t="str">
        <x:v>Medio</x:v>
      </x:c>
      <x:c r="R147" s="10" t="str">
        <x:v>Producción — Iván (apellido por confirmar) + Leo Sailema</x:v>
      </x:c>
      <x:c r="S147" s="10" t="str">
        <x:v>Operación/seguridad + coordinación general</x:v>
      </x:c>
      <x:c r="T147" s="10" t="str">
        <x:v>Preparación final y vivo</x:v>
      </x:c>
      <x:c r="U147" s="10" t="str">
        <x:v>Plano final, inventario, medidas, responsables y prueba de montaje</x:v>
      </x:c>
      <x:c r="V147" s="10" t="str">
        <x:v>Plano final, inventario, medidas, responsables y prueba de montaje</x:v>
      </x:c>
      <x:c r="W147" s="10" t="str">
        <x:v>DISEÑOD E TODOS LOS GAFETES</x:v>
      </x:c>
      <x:c r="X147" s="10" t="str">
        <x:v>No</x:v>
      </x:c>
      <x:c r="Y147" s="10" t="str">
        <x:f>IF(F147&lt;&gt;"Completada","Sin cierre",IF(OR(H147="",I147=""),"Sin dato",IF(I147&lt;=H147,"A tiempo","Tarde")))</x:f>
        <x:v>A tiempo</x:v>
      </x:c>
      <x:c r="Z147" s="24" t="n">
        <x:f>IF(OR(G147="",H147=""),"",H147-G147)</x:f>
        <x:v>0.006608796291402541</x:v>
      </x:c>
    </x:row>
    <x:row r="148" ht="42" customHeight="1">
      <x:c r="A148" s="10" t="n">
        <x:v>147</x:v>
      </x:c>
      <x:c r="B148" s="10" t="n">
        <x:v>13608</x:v>
      </x:c>
      <x:c r="C148" s="10" t="str">
        <x:v>RODAJE CCE ATRACTIVOS PLAZA DE LA LUNA</x:v>
      </x:c>
      <x:c r="D148" s="10" t="str">
        <x:v>Edwin Naula</x:v>
      </x:c>
      <x:c r="E148" s="10" t="str">
        <x:v>Edwin Naula</x:v>
      </x:c>
      <x:c r="F148" s="10" t="str">
        <x:v>Completada</x:v>
      </x:c>
      <x:c r="G148" s="23" t="n">
        <x:v>45953.556909722225</x:v>
      </x:c>
      <x:c r="H148" s="23" t="n">
        <x:v>45955.979166666664</x:v>
      </x:c>
      <x:c r="I148" s="23" t="n">
        <x:v>45955.96538194444</x:v>
      </x:c>
      <x:c r="J148" s="10" t="str">
        <x:v>Pam Villa, Diego Flores (grafía por confirmar), Stalin Loaiza</x:v>
      </x:c>
      <x:c r="K148" s="10" t="str"/>
      <x:c r="L148" s="10"/>
      <x:c r="M148" s="10" t="str">
        <x:v>F26-12-AV</x:v>
      </x:c>
      <x:c r="N148" s="10" t="str">
        <x:v>Producción audiovisual</x:v>
      </x:c>
      <x:c r="O148" s="10" t="str">
        <x:v>Rodajes, entrevistas, streaming y entregables</x:v>
      </x:c>
      <x:c r="P148" s="10" t="str">
        <x:v>Convertir con control</x:v>
      </x:c>
      <x:c r="Q148" s="10" t="str">
        <x:v>Medio</x:v>
      </x:c>
      <x:c r="R148" s="10" t="str">
        <x:v>Coordinación diseño/audiovisual — Andrés Naula</x:v>
      </x:c>
      <x:c r="S148" s="10" t="str">
        <x:v>Coordinación general + dirección de marketing</x:v>
      </x:c>
      <x:c r="T148" s="10" t="str">
        <x:v>Expectativa, conversión y vivo</x:v>
      </x:c>
      <x:c r="U148" s="10" t="str">
        <x:v>Guion, derechos, agenda, scouting, equipo y plan técnico aprobados</x:v>
      </x:c>
      <x:c r="V148" s="10" t="str">
        <x:v>Guion, derechos, agenda, scouting, equipo y plan técnico aprobados</x:v>
      </x:c>
      <x:c r="W148" s="10" t="str">
        <x:v>Se requiere grabación de atractivos para promoción de la plaza de la luna</x:v>
      </x:c>
      <x:c r="X148" s="10" t="str">
        <x:v>No</x:v>
      </x:c>
      <x:c r="Y148" s="10" t="str">
        <x:f>IF(F148&lt;&gt;"Completada","Sin cierre",IF(OR(H148="",I148=""),"Sin dato",IF(I148&lt;=H148,"A tiempo","Tarde")))</x:f>
        <x:v>A tiempo</x:v>
      </x:c>
      <x:c r="Z148" s="24" t="n">
        <x:f>IF(OR(G148="",H148=""),"",H148-G148)</x:f>
        <x:v>2.422256944439141</x:v>
      </x:c>
    </x:row>
    <x:row r="149" ht="42" customHeight="1">
      <x:c r="A149" s="10" t="n">
        <x:v>148</x:v>
      </x:c>
      <x:c r="B149" s="10" t="n">
        <x:v>13610</x:v>
      </x:c>
      <x:c r="C149" s="10" t="str">
        <x:v>RODAJE PROMOCIONALES EN EL COMPLEJO</x:v>
      </x:c>
      <x:c r="D149" s="10" t="str">
        <x:v>Edwin Naula</x:v>
      </x:c>
      <x:c r="E149" s="10" t="str">
        <x:v>Edwin Naula</x:v>
      </x:c>
      <x:c r="F149" s="10" t="str">
        <x:v>Completada</x:v>
      </x:c>
      <x:c r="G149" s="23" t="n">
        <x:v>45953.56868055555</x:v>
      </x:c>
      <x:c r="H149" s="23" t="n">
        <x:v>45953.958333333336</x:v>
      </x:c>
      <x:c r="I149" s="23" t="n">
        <x:v>45954.07730324074</x:v>
      </x:c>
      <x:c r="J149" s="10" t="str"/>
      <x:c r="K149" s="10" t="str"/>
      <x:c r="L149" s="10"/>
      <x:c r="M149" s="10" t="str">
        <x:v>F26-09-CREA</x:v>
      </x:c>
      <x:c r="N149" s="10" t="str">
        <x:v>Creadores y comunidad</x:v>
      </x:c>
      <x:c r="O149" s="10" t="str">
        <x:v>Influencers, embajadores y referidos</x:v>
      </x:c>
      <x:c r="P149" s="10" t="str">
        <x:v>Convertir con control</x:v>
      </x:c>
      <x:c r="Q149" s="10" t="str">
        <x:v>Medio</x:v>
      </x:c>
      <x:c r="R149" s="10" t="str">
        <x:v>Coordinación comunicación + relaciones públicas</x:v>
      </x:c>
      <x:c r="S149" s="10" t="str">
        <x:v>Dirección de marketing + legal/finanzas cuando aplique</x:v>
      </x:c>
      <x:c r="T149" s="10" t="str">
        <x:v>Expectativa y conversión</x:v>
      </x:c>
      <x:c r="U149" s="10" t="str">
        <x:v>Brief, derechos, selección, compensación fija y evidencia verificable</x:v>
      </x:c>
      <x:c r="V149" s="10" t="str">
        <x:v>Brief, derechos, selección, compensación fija y evidencia verificable</x:v>
      </x:c>
      <x:c r="W149" s="10" t="str">
        <x:v>Creación de video reels para promocionales en el complejo con Steffy y Deneb solis</x:v>
      </x:c>
      <x:c r="X149" s="10" t="str">
        <x:v>No</x:v>
      </x:c>
      <x:c r="Y149" s="10" t="str">
        <x:f>IF(F149&lt;&gt;"Completada","Sin cierre",IF(OR(H149="",I149=""),"Sin dato",IF(I149&lt;=H149,"A tiempo","Tarde")))</x:f>
        <x:v>Tarde</x:v>
      </x:c>
      <x:c r="Z149" s="24" t="n">
        <x:f>IF(OR(G149="",H149=""),"",H149-G149)</x:f>
        <x:v>0.38965277778333984</x:v>
      </x:c>
    </x:row>
    <x:row r="150" ht="42" customHeight="1">
      <x:c r="A150" s="10" t="n">
        <x:v>149</x:v>
      </x:c>
      <x:c r="B150" s="10" t="n">
        <x:v>13618</x:v>
      </x:c>
      <x:c r="C150" s="10" t="str">
        <x:v>DISEÑO DE VALLAS PUBLICITARIAS PARA LAS PLAZAS DEL SOL, LA LUNA Y MEGAESCENARIO</x:v>
      </x:c>
      <x:c r="D150" s="10" t="str">
        <x:v>Edwin Naula</x:v>
      </x:c>
      <x:c r="E150" s="10" t="str">
        <x:v>Edwin Naula</x:v>
      </x:c>
      <x:c r="F150" s="10" t="str">
        <x:v>Completada</x:v>
      </x:c>
      <x:c r="G150" s="23" t="n">
        <x:v>45954.08762731482</x:v>
      </x:c>
      <x:c r="H150" s="23" t="n">
        <x:v>45954.958333333336</x:v>
      </x:c>
      <x:c r="I150" s="23" t="n">
        <x:v>45954.09501157407</x:v>
      </x:c>
      <x:c r="J150" s="10" t="str">
        <x:v>Luis Lara, Stalin Flores</x:v>
      </x:c>
      <x:c r="K150" s="10" t="str"/>
      <x:c r="L150" s="10"/>
      <x:c r="M150" s="10" t="str">
        <x:v>F26-03-PAT</x:v>
      </x:c>
      <x:c r="N150" s="10" t="str">
        <x:v>Patrocinios y aliados</x:v>
      </x:c>
      <x:c r="O150" s="10" t="str">
        <x:v>Auspiciantes: altas, activos, beneficios y evidencia</x:v>
      </x:c>
      <x:c r="P150" s="10" t="str">
        <x:v>Convertir con control</x:v>
      </x:c>
      <x:c r="Q150" s="10" t="str">
        <x:v>Medio</x:v>
      </x:c>
      <x:c r="R150" s="10" t="str">
        <x:v>Dueño de patrocinadores — por asignar</x:v>
      </x:c>
      <x:c r="S150" s="10" t="str">
        <x:v>Dirección + finanzas/comercial</x:v>
      </x:c>
      <x:c r="T150" s="10" t="str">
        <x:v>Revelación y preventa</x:v>
      </x:c>
      <x:c r="U150" s="10" t="str">
        <x:v>Contrato, inventario de beneficios y master de logos conciliados</x:v>
      </x:c>
      <x:c r="V150" s="10" t="str">
        <x:v>Contrato, inventario de beneficios y master de logos conciliados</x:v>
      </x:c>
      <x:c r="W150" s="10" t="str">
        <x:v>Se requiere el diseño inicial de las vallas publicitarias para los auspiciantes en la plaza del sol, la luna y megaescenario</x:v>
      </x:c>
      <x:c r="X150" s="10" t="str">
        <x:v>No</x:v>
      </x:c>
      <x:c r="Y150" s="10" t="str">
        <x:f>IF(F150&lt;&gt;"Completada","Sin cierre",IF(OR(H150="",I150=""),"Sin dato",IF(I150&lt;=H150,"A tiempo","Tarde")))</x:f>
        <x:v>A tiempo</x:v>
      </x:c>
      <x:c r="Z150" s="24" t="n">
        <x:f>IF(OR(G150="",H150=""),"",H150-G150)</x:f>
        <x:v>0.8707060185188311</x:v>
      </x:c>
    </x:row>
    <x:row r="151" ht="42" customHeight="1">
      <x:c r="A151" s="10" t="n">
        <x:v>150</x:v>
      </x:c>
      <x:c r="B151" s="10" t="n">
        <x:v>13620</x:v>
      </x:c>
      <x:c r="C151" s="10" t="str">
        <x:v>DISEÑO DE INFORMATIVOS PUBICITARIOS PARA LAS PLAZA DEL SOL Y LA LUNA</x:v>
      </x:c>
      <x:c r="D151" s="10" t="str">
        <x:v>Edwin Naula</x:v>
      </x:c>
      <x:c r="E151" s="10" t="str">
        <x:v>Edwin Naula</x:v>
      </x:c>
      <x:c r="F151" s="10" t="str">
        <x:v>Completada</x:v>
      </x:c>
      <x:c r="G151" s="23" t="n">
        <x:v>45954.095405092594</x:v>
      </x:c>
      <x:c r="H151" s="23" t="n">
        <x:v>45954.958333333336</x:v>
      </x:c>
      <x:c r="I151" s="23" t="n">
        <x:v>45954.09694444444</x:v>
      </x:c>
      <x:c r="J151" s="10" t="str">
        <x:v>Luis Lara, Stalin Flores</x:v>
      </x:c>
      <x:c r="K151" s="10" t="str"/>
      <x:c r="L151" s="10"/>
      <x:c r="M151" s="10" t="str">
        <x:v>F26-02-MARCA</x:v>
      </x:c>
      <x:c r="N151" s="10" t="str">
        <x:v>Marca y creatividad</x:v>
      </x:c>
      <x:c r="O151" s="10" t="str">
        <x:v>Sistema visual y adaptaciones maestras</x:v>
      </x:c>
      <x:c r="P151" s="10" t="str">
        <x:v>Consolidar en paquete 2026</x:v>
      </x:c>
      <x:c r="Q151" s="10" t="str">
        <x:v>Medio</x:v>
      </x:c>
      <x:c r="R151" s="10" t="str">
        <x:v>Coordinación diseño/audiovisual — Andrés Naula</x:v>
      </x:c>
      <x:c r="S151" s="10" t="str">
        <x:v>Dirección de marketing + aprobación cultural/marca</x:v>
      </x:c>
      <x:c r="T151" s="10" t="str">
        <x:v>Preparación interna</x:v>
      </x:c>
      <x:c r="U151" s="10" t="str">
        <x:v>Plataforma ES TRADICIÓN y key visual aprobados</x:v>
      </x:c>
      <x:c r="V151" s="10" t="str">
        <x:v>Evitar microtareas ad hoc; trabajar desde un brief, plantilla, dueño y fecha de aprobación.</x:v>
      </x:c>
      <x:c r="W151" s="10" t="str"/>
      <x:c r="X151" s="10" t="str">
        <x:v>No</x:v>
      </x:c>
      <x:c r="Y151" s="10" t="str">
        <x:f>IF(F151&lt;&gt;"Completada","Sin cierre",IF(OR(H151="",I151=""),"Sin dato",IF(I151&lt;=H151,"A tiempo","Tarde")))</x:f>
        <x:v>A tiempo</x:v>
      </x:c>
      <x:c r="Z151" s="24" t="n">
        <x:f>IF(OR(G151="",H151=""),"",H151-G151)</x:f>
        <x:v>0.8629282407418941</x:v>
      </x:c>
    </x:row>
    <x:row r="152" ht="42" customHeight="1">
      <x:c r="A152" s="10" t="n">
        <x:v>151</x:v>
      </x:c>
      <x:c r="B152" s="10" t="n">
        <x:v>13622</x:v>
      </x:c>
      <x:c r="C152" s="10" t="str">
        <x:v>DISEÑO DE POLITICAS DE STANDS PARA EXPOSITORES</x:v>
      </x:c>
      <x:c r="D152" s="10" t="str">
        <x:v>Edwin Naula</x:v>
      </x:c>
      <x:c r="E152" s="10" t="str">
        <x:v>Edwin Naula</x:v>
      </x:c>
      <x:c r="F152" s="10" t="str">
        <x:v>Completada</x:v>
      </x:c>
      <x:c r="G152" s="23" t="n">
        <x:v>45954.09701388889</x:v>
      </x:c>
      <x:c r="H152" s="23" t="n">
        <x:v>45954.958333333336</x:v>
      </x:c>
      <x:c r="I152" s="23" t="n">
        <x:v>45954.10241898148</x:v>
      </x:c>
      <x:c r="J152" s="10" t="str">
        <x:v>Luis Lara, Stalin Flores</x:v>
      </x:c>
      <x:c r="K152" s="10" t="str"/>
      <x:c r="L152" s="10"/>
      <x:c r="M152" s="10" t="str">
        <x:v>F26-04-EXP</x:v>
      </x:c>
      <x:c r="N152" s="10" t="str">
        <x:v>Expositores y comercialización</x:v>
      </x:c>
      <x:c r="O152" s="10" t="str">
        <x:v>Stands, expositores y narrativa comercial</x:v>
      </x:c>
      <x:c r="P152" s="10" t="str">
        <x:v>Consolidar en paquete 2026</x:v>
      </x:c>
      <x:c r="Q152" s="10" t="str">
        <x:v>Medio</x:v>
      </x:c>
      <x:c r="R152" s="10" t="str">
        <x:v>Dueño de expositores — por asignar</x:v>
      </x:c>
      <x:c r="S152" s="10" t="str">
        <x:v>Dirección/comercial + operación</x:v>
      </x:c>
      <x:c r="T152" s="10" t="str">
        <x:v>Revelación y preventa</x:v>
      </x:c>
      <x:c r="U152" s="10" t="str">
        <x:v>Inventario, precios, políticas y capacidad aprobados</x:v>
      </x:c>
      <x:c r="V152" s="10" t="str">
        <x:v>Evitar microtareas ad hoc; trabajar desde un brief, plantilla, dueño y fecha de aprobación.</x:v>
      </x:c>
      <x:c r="W152" s="10" t="str">
        <x:v>DISEÑO Y GESTION</x:v>
      </x:c>
      <x:c r="X152" s="10" t="str">
        <x:v>No</x:v>
      </x:c>
      <x:c r="Y152" s="10" t="str">
        <x:f>IF(F152&lt;&gt;"Completada","Sin cierre",IF(OR(H152="",I152=""),"Sin dato",IF(I152&lt;=H152,"A tiempo","Tarde")))</x:f>
        <x:v>A tiempo</x:v>
      </x:c>
      <x:c r="Z152" s="24" t="n">
        <x:f>IF(OR(G152="",H152=""),"",H152-G152)</x:f>
        <x:v>0.8613194444478722</x:v>
      </x:c>
    </x:row>
    <x:row r="153" ht="42" customHeight="1">
      <x:c r="A153" s="10" t="n">
        <x:v>152</x:v>
      </x:c>
      <x:c r="B153" s="10" t="n">
        <x:v>13624</x:v>
      </x:c>
      <x:c r="C153" s="10" t="str">
        <x:v>POST FINALES IMPORTANTES</x:v>
      </x:c>
      <x:c r="D153" s="10" t="str">
        <x:v>Pam Villa</x:v>
      </x:c>
      <x:c r="E153" s="10" t="str">
        <x:v>Pam Villa</x:v>
      </x:c>
      <x:c r="F153" s="10" t="str">
        <x:v>Pendiente</x:v>
      </x:c>
      <x:c r="G153" s="23" t="n">
        <x:v>45954.641493055555</x:v>
      </x:c>
      <x:c r="H153" s="23"/>
      <x:c r="I153" s="23"/>
      <x:c r="J153" s="10" t="str"/>
      <x:c r="K153" s="10" t="str"/>
      <x:c r="L153" s="10"/>
      <x:c r="M153" s="10" t="str">
        <x:v>F26-16-LIVE</x:v>
      </x:c>
      <x:c r="N153" s="10" t="str">
        <x:v>Comando en vivo</x:v>
      </x:c>
      <x:c r="O153" s="10" t="str">
        <x:v>Cobertura diaria, servicio y cambios de programación</x:v>
      </x:c>
      <x:c r="P153" s="10" t="str">
        <x:v>Convertir con control</x:v>
      </x:c>
      <x:c r="Q153" s="10" t="str">
        <x:v>Medio</x:v>
      </x:c>
      <x:c r="R153" s="10" t="str">
        <x:v>Coordinación comunicación + community manager — vacante</x:v>
      </x:c>
      <x:c r="S153" s="10" t="str">
        <x:v>Coordinación general + operación</x:v>
      </x:c>
      <x:c r="T153" s="10" t="str">
        <x:v>29 de octubre–2 de noviembre</x:v>
      </x:c>
      <x:c r="U153" s="10" t="str">
        <x:v>Turnos, escalamiento, plantillas, conectividad y fuente operativa en vivo</x:v>
      </x:c>
      <x:c r="V153" s="10" t="str">
        <x:v>El cierre histórico no quedó completado. Turnos, escalamiento, plantillas, conectividad y fuente operativa en vivo</x:v>
      </x:c>
      <x:c r="W153" s="10" t="str"/>
      <x:c r="X153" s="10" t="str">
        <x:v>No</x:v>
      </x:c>
      <x:c r="Y153" s="10" t="str">
        <x:f>IF(F153&lt;&gt;"Completada","Sin cierre",IF(OR(H153="",I153=""),"Sin dato",IF(I153&lt;=H153,"A tiempo","Tarde")))</x:f>
        <x:v>Sin cierre</x:v>
      </x:c>
      <x:c r="Z153" s="24" t="str">
        <x:f>IF(OR(G153="",H153=""),"",H153-G153)</x:f>
      </x:c>
    </x:row>
    <x:row r="154" ht="42" customHeight="1">
      <x:c r="A154" s="10" t="n">
        <x:v>153</x:v>
      </x:c>
      <x:c r="B154" s="10" t="n">
        <x:v>13626</x:v>
      </x:c>
      <x:c r="C154" s="10" t="str">
        <x:v>ACTIVACION ESTADIO ECHALECHE MUSHUC RUNA VS MANTA</x:v>
      </x:c>
      <x:c r="D154" s="10" t="str">
        <x:v>Edwin Naula</x:v>
      </x:c>
      <x:c r="E154" s="10" t="str">
        <x:v>Edwin Naula</x:v>
      </x:c>
      <x:c r="F154" s="10" t="str">
        <x:v>Completada</x:v>
      </x:c>
      <x:c r="G154" s="23" t="n">
        <x:v>45954.65175925926</x:v>
      </x:c>
      <x:c r="H154" s="23" t="n">
        <x:v>45955.958333333336</x:v>
      </x:c>
      <x:c r="I154" s="23" t="n">
        <x:v>45955.96461805556</x:v>
      </x:c>
      <x:c r="J154" s="10" t="str">
        <x:v>Diego Flores (grafía por confirmar), Isabela Orozco, Edwin Masa Sisa (identidad por confirmar)</x:v>
      </x:c>
      <x:c r="K154" s="10" t="str"/>
      <x:c r="L154" s="10"/>
      <x:c r="M154" s="10" t="str">
        <x:v>F26-11-ACT</x:v>
      </x:c>
      <x:c r="N154" s="10" t="str">
        <x:v>Activaciones territoriales</x:v>
      </x:c>
      <x:c r="O154" s="10" t="str">
        <x:v>Calle, estadio, perifoneo y alianzas de distribución</x:v>
      </x:c>
      <x:c r="P154" s="10" t="str">
        <x:v>Convertir con control</x:v>
      </x:c>
      <x:c r="Q154" s="10" t="str">
        <x:v>Medio</x:v>
      </x:c>
      <x:c r="R154" s="10" t="str">
        <x:v>Producción — Iván (apellido por confirmar) + comunicación</x:v>
      </x:c>
      <x:c r="S154" s="10" t="str">
        <x:v>Coordinación general + operación/seguridad</x:v>
      </x:c>
      <x:c r="T154" s="10" t="str">
        <x:v>Conversión</x:v>
      </x:c>
      <x:c r="U154" s="10" t="str">
        <x:v>Permisos, ruta, seguridad, materiales y medición definidos</x:v>
      </x:c>
      <x:c r="V154" s="10" t="str">
        <x:v>Permisos, ruta, seguridad, materiales y medición definidos</x:v>
      </x:c>
      <x:c r="W154" s="10" t="str">
        <x:v>Activacion de ingreso al estadio con sorteo de entradas y entrega de flyers y medio tiempo con pancarta informativa</x:v>
      </x:c>
      <x:c r="X154" s="10" t="str">
        <x:v>No</x:v>
      </x:c>
      <x:c r="Y154" s="10" t="str">
        <x:f>IF(F154&lt;&gt;"Completada","Sin cierre",IF(OR(H154="",I154=""),"Sin dato",IF(I154&lt;=H154,"A tiempo","Tarde")))</x:f>
        <x:v>Tarde</x:v>
      </x:c>
      <x:c r="Z154" s="24" t="n">
        <x:f>IF(OR(G154="",H154=""),"",H154-G154)</x:f>
        <x:v>1.3065740740785259</x:v>
      </x:c>
    </x:row>
    <x:row r="155" ht="42" customHeight="1">
      <x:c r="A155" s="10" t="n">
        <x:v>154</x:v>
      </x:c>
      <x:c r="B155" s="10" t="n">
        <x:v>13630</x:v>
      </x:c>
      <x:c r="C155" s="10" t="str">
        <x:v>ANIMACION DE LICORES PARA PNATLLAS Y TOTEMS</x:v>
      </x:c>
      <x:c r="D155" s="10" t="str">
        <x:v>Edwin Naula</x:v>
      </x:c>
      <x:c r="E155" s="10" t="str">
        <x:v>Edwin Naula</x:v>
      </x:c>
      <x:c r="F155" s="10" t="str">
        <x:v>Completada</x:v>
      </x:c>
      <x:c r="G155" s="23" t="n">
        <x:v>45954.83951388889</x:v>
      </x:c>
      <x:c r="H155" s="23" t="n">
        <x:v>45957.958333333336</x:v>
      </x:c>
      <x:c r="I155" s="23" t="n">
        <x:v>45957.97760416667</x:v>
      </x:c>
      <x:c r="J155" s="10" t="str">
        <x:v>Diego Flores (grafía por confirmar)</x:v>
      </x:c>
      <x:c r="K155" s="10" t="str"/>
      <x:c r="L155" s="10"/>
      <x:c r="M155" s="10" t="str">
        <x:v>F26-14-OPS</x:v>
      </x:c>
      <x:c r="N155" s="10" t="str">
        <x:v>Operación en sitio</x:v>
      </x:c>
      <x:c r="O155" s="10" t="str">
        <x:v>Credenciales, señalética, pantallas, espacios y materiales</x:v>
      </x:c>
      <x:c r="P155" s="10" t="str">
        <x:v>Convertir con control</x:v>
      </x:c>
      <x:c r="Q155" s="10" t="str">
        <x:v>Medio</x:v>
      </x:c>
      <x:c r="R155" s="10" t="str">
        <x:v>Producción — Iván (apellido por confirmar) + Leo Sailema</x:v>
      </x:c>
      <x:c r="S155" s="10" t="str">
        <x:v>Operación/seguridad + coordinación general</x:v>
      </x:c>
      <x:c r="T155" s="10" t="str">
        <x:v>Preparación final y vivo</x:v>
      </x:c>
      <x:c r="U155" s="10" t="str">
        <x:v>Plano final, inventario, medidas, responsables y prueba de montaje</x:v>
      </x:c>
      <x:c r="V155" s="10" t="str">
        <x:v>Plano final, inventario, medidas, responsables y prueba de montaje</x:v>
      </x:c>
      <x:c r="W155" s="10" t="str">
        <x:v>Animacion de promocion de licores por horas en pantallas y totems en formatos 9:16 y 16:9</x:v>
      </x:c>
      <x:c r="X155" s="10" t="str">
        <x:v>No</x:v>
      </x:c>
      <x:c r="Y155" s="10" t="str">
        <x:f>IF(F155&lt;&gt;"Completada","Sin cierre",IF(OR(H155="",I155=""),"Sin dato",IF(I155&lt;=H155,"A tiempo","Tarde")))</x:f>
        <x:v>Tarde</x:v>
      </x:c>
      <x:c r="Z155" s="24" t="n">
        <x:f>IF(OR(G155="",H155=""),"",H155-G155)</x:f>
        <x:v>3.118819444447581</x:v>
      </x:c>
    </x:row>
    <x:row r="156" ht="42" customHeight="1">
      <x:c r="A156" s="10" t="n">
        <x:v>155</x:v>
      </x:c>
      <x:c r="B156" s="10" t="n">
        <x:v>13636</x:v>
      </x:c>
      <x:c r="C156" s="10" t="str">
        <x:v>VIDEO CREDIFACIL LTDA</x:v>
      </x:c>
      <x:c r="D156" s="10" t="str">
        <x:v>Edwin Naula</x:v>
      </x:c>
      <x:c r="E156" s="10" t="str">
        <x:v>Edwin Naula</x:v>
      </x:c>
      <x:c r="F156" s="10" t="str">
        <x:v>Completada</x:v>
      </x:c>
      <x:c r="G156" s="23" t="n">
        <x:v>45954.88166666667</x:v>
      </x:c>
      <x:c r="H156" s="23" t="n">
        <x:v>45957.958333333336</x:v>
      </x:c>
      <x:c r="I156" s="23" t="n">
        <x:v>45957.97777777778</x:v>
      </x:c>
      <x:c r="J156" s="10" t="str">
        <x:v>Pam Villa, Zeus Producciones, Edwin Naula</x:v>
      </x:c>
      <x:c r="K156" s="10" t="str"/>
      <x:c r="L156" s="10"/>
      <x:c r="M156" s="10" t="str">
        <x:v>F26-12-AV</x:v>
      </x:c>
      <x:c r="N156" s="10" t="str">
        <x:v>Producción audiovisual</x:v>
      </x:c>
      <x:c r="O156" s="10" t="str">
        <x:v>Rodajes, entrevistas, streaming y entregables</x:v>
      </x:c>
      <x:c r="P156" s="10" t="str">
        <x:v>Convertir con control</x:v>
      </x:c>
      <x:c r="Q156" s="10" t="str">
        <x:v>Medio</x:v>
      </x:c>
      <x:c r="R156" s="10" t="str">
        <x:v>Coordinación diseño/audiovisual — Andrés Naula</x:v>
      </x:c>
      <x:c r="S156" s="10" t="str">
        <x:v>Coordinación general + dirección de marketing</x:v>
      </x:c>
      <x:c r="T156" s="10" t="str">
        <x:v>Expectativa, conversión y vivo</x:v>
      </x:c>
      <x:c r="U156" s="10" t="str">
        <x:v>Guion, derechos, agenda, scouting, equipo y plan técnico aprobados</x:v>
      </x:c>
      <x:c r="V156" s="10" t="str">
        <x:v>Guion, derechos, agenda, scouting, equipo y plan técnico aprobados</x:v>
      </x:c>
      <x:c r="W156" s="10" t="str">
        <x:v>Rodaje por Solicitud de la ing. nancy quinatoa para grabar el video de la coac credifacil ltda. invitando a la feria</x:v>
      </x:c>
      <x:c r="X156" s="10" t="str">
        <x:v>No</x:v>
      </x:c>
      <x:c r="Y156" s="10" t="str">
        <x:f>IF(F156&lt;&gt;"Completada","Sin cierre",IF(OR(H156="",I156=""),"Sin dato",IF(I156&lt;=H156,"A tiempo","Tarde")))</x:f>
        <x:v>Tarde</x:v>
      </x:c>
      <x:c r="Z156" s="24" t="n">
        <x:f>IF(OR(G156="",H156=""),"",H156-G156)</x:f>
        <x:v>3.076666666667734</x:v>
      </x:c>
    </x:row>
    <x:row r="157" ht="42" customHeight="1">
      <x:c r="A157" s="10" t="n">
        <x:v>156</x:v>
      </x:c>
      <x:c r="B157" s="10" t="n">
        <x:v>13638</x:v>
      </x:c>
      <x:c r="C157" s="10" t="str">
        <x:v>MODIFIACION ARTE PARA EL HERALDO - MEDIO IMPRESO</x:v>
      </x:c>
      <x:c r="D157" s="10" t="str">
        <x:v>Edwin Naula</x:v>
      </x:c>
      <x:c r="E157" s="10" t="str">
        <x:v>Edwin Naula</x:v>
      </x:c>
      <x:c r="F157" s="10" t="str">
        <x:v>Completada</x:v>
      </x:c>
      <x:c r="G157" s="23" t="n">
        <x:v>45954.95716435185</x:v>
      </x:c>
      <x:c r="H157" s="23" t="n">
        <x:v>45955.958333333336</x:v>
      </x:c>
      <x:c r="I157" s="23" t="n">
        <x:v>45955.96480324074</x:v>
      </x:c>
      <x:c r="J157" s="10" t="str">
        <x:v>Stalin Flores, Isabela Orozco</x:v>
      </x:c>
      <x:c r="K157" s="10" t="str"/>
      <x:c r="L157" s="10"/>
      <x:c r="M157" s="10" t="str">
        <x:v>F26-10-PR</x:v>
      </x:c>
      <x:c r="N157" s="10" t="str">
        <x:v>Relaciones públicas</x:v>
      </x:c>
      <x:c r="O157" s="10" t="str">
        <x:v>Prensa, radios, giras y vocerías</x:v>
      </x:c>
      <x:c r="P157" s="10" t="str">
        <x:v>Convertir con control</x:v>
      </x:c>
      <x:c r="Q157" s="10" t="str">
        <x:v>Medio</x:v>
      </x:c>
      <x:c r="R157" s="10" t="str">
        <x:v>Relaciones públicas — Are Morales</x:v>
      </x:c>
      <x:c r="S157" s="10" t="str">
        <x:v>Dirección + vocero autorizado</x:v>
      </x:c>
      <x:c r="T157" s="10" t="str">
        <x:v>Revelación y conversión</x:v>
      </x:c>
      <x:c r="U157" s="10" t="str">
        <x:v>Mensajes, agenda, vocero, ficha factual y monitoreo aprobados</x:v>
      </x:c>
      <x:c r="V157" s="10" t="str">
        <x:v>Mensajes, agenda, vocero, ficha factual y monitoreo aprobados</x:v>
      </x:c>
      <x:c r="W157" s="10" t="str">
        <x:v>Listo te mando medidas de página completa 25,40 cm de ancho x 28,79 cm de alto</x:v>
      </x:c>
      <x:c r="X157" s="10" t="str">
        <x:v>No</x:v>
      </x:c>
      <x:c r="Y157" s="10" t="str">
        <x:f>IF(F157&lt;&gt;"Completada","Sin cierre",IF(OR(H157="",I157=""),"Sin dato",IF(I157&lt;=H157,"A tiempo","Tarde")))</x:f>
        <x:v>Tarde</x:v>
      </x:c>
      <x:c r="Z157" s="24" t="n">
        <x:f>IF(OR(G157="",H157=""),"",H157-G157)</x:f>
        <x:v>1.0011689814855345</x:v>
      </x:c>
    </x:row>
    <x:row r="158" ht="42" customHeight="1">
      <x:c r="A158" s="10" t="n">
        <x:v>157</x:v>
      </x:c>
      <x:c r="B158" s="10" t="n">
        <x:v>13640</x:v>
      </x:c>
      <x:c r="C158" s="10" t="str">
        <x:v>DISEÑO RETROBAND SOLICITADO</x:v>
      </x:c>
      <x:c r="D158" s="10" t="str">
        <x:v>Edwin Naula</x:v>
      </x:c>
      <x:c r="E158" s="10" t="str">
        <x:v>Edwin Naula</x:v>
      </x:c>
      <x:c r="F158" s="10" t="str">
        <x:v>Completada</x:v>
      </x:c>
      <x:c r="G158" s="23" t="n">
        <x:v>45954.97170138889</x:v>
      </x:c>
      <x:c r="H158" s="23" t="n">
        <x:v>45957.958333333336</x:v>
      </x:c>
      <x:c r="I158" s="23" t="n">
        <x:v>45956.967523148145</x:v>
      </x:c>
      <x:c r="J158" s="10" t="str">
        <x:v>Pam Villa, Stalin Flores</x:v>
      </x:c>
      <x:c r="K158" s="10" t="str"/>
      <x:c r="L158" s="10"/>
      <x:c r="M158" s="10" t="str">
        <x:v>F26-07-SHOW</x:v>
      </x:c>
      <x:c r="N158" s="10" t="str">
        <x:v>Programación y marketing</x:v>
      </x:c>
      <x:c r="O158" s="10" t="str">
        <x:v>Shows, artistas y programación bajo embargo</x:v>
      </x:c>
      <x:c r="P158" s="10" t="str">
        <x:v>Convertir con control</x:v>
      </x:c>
      <x:c r="Q158" s="10" t="str">
        <x:v>Alto</x:v>
      </x:c>
      <x:c r="R158" s="10" t="str">
        <x:v>Programación + coordinación comunicación</x:v>
      </x:c>
      <x:c r="S158" s="10" t="str">
        <x:v>Dirección + programación + derechos</x:v>
      </x:c>
      <x:c r="T158" s="10" t="str">
        <x:v>Revelación y conversión</x:v>
      </x:c>
      <x:c r="U158" s="10" t="str">
        <x:v>Contrato, grafía, día, horario, derechos, embargo y oferta confirmados</x:v>
      </x:c>
      <x:c r="V158" s="10" t="str">
        <x:v>Contrato, grafía, día, horario, derechos, embargo y oferta confirmados</x:v>
      </x:c>
      <x:c r="W158" s="10" t="str">
        <x:v>Solicitud de diseño de la agrupacion retroband por la INg. karina Chango</x:v>
      </x:c>
      <x:c r="X158" s="10" t="str">
        <x:v>No</x:v>
      </x:c>
      <x:c r="Y158" s="10" t="str">
        <x:f>IF(F158&lt;&gt;"Completada","Sin cierre",IF(OR(H158="",I158=""),"Sin dato",IF(I158&lt;=H158,"A tiempo","Tarde")))</x:f>
        <x:v>A tiempo</x:v>
      </x:c>
      <x:c r="Z158" s="24" t="n">
        <x:f>IF(OR(G158="",H158=""),"",H158-G158)</x:f>
        <x:v>2.9866319444481633</x:v>
      </x:c>
    </x:row>
    <x:row r="159" ht="42" customHeight="1">
      <x:c r="A159" s="10" t="n">
        <x:v>158</x:v>
      </x:c>
      <x:c r="B159" s="10" t="n">
        <x:v>13642</x:v>
      </x:c>
      <x:c r="C159" s="10" t="str">
        <x:v>EDICION VIDEO DE PAYASOS</x:v>
      </x:c>
      <x:c r="D159" s="10" t="str">
        <x:v>Edwin Naula</x:v>
      </x:c>
      <x:c r="E159" s="10" t="str">
        <x:v>Edwin Naula</x:v>
      </x:c>
      <x:c r="F159" s="10" t="str">
        <x:v>Completada</x:v>
      </x:c>
      <x:c r="G159" s="23" t="n">
        <x:v>45955.59101851852</x:v>
      </x:c>
      <x:c r="H159" s="23" t="n">
        <x:v>45955.958333333336</x:v>
      </x:c>
      <x:c r="I159" s="23" t="n">
        <x:v>45955.59240740741</x:v>
      </x:c>
      <x:c r="J159" s="10" t="str">
        <x:v>Diego Flores (grafía por confirmar), Edwin Naula</x:v>
      </x:c>
      <x:c r="K159" s="10" t="str"/>
      <x:c r="L159" s="10"/>
      <x:c r="M159" s="10" t="str">
        <x:v>F26-07-SHOW</x:v>
      </x:c>
      <x:c r="N159" s="10" t="str">
        <x:v>Programación y marketing</x:v>
      </x:c>
      <x:c r="O159" s="10" t="str">
        <x:v>Shows, artistas y programación bajo embargo</x:v>
      </x:c>
      <x:c r="P159" s="10" t="str">
        <x:v>Convertir con control</x:v>
      </x:c>
      <x:c r="Q159" s="10" t="str">
        <x:v>Alto</x:v>
      </x:c>
      <x:c r="R159" s="10" t="str">
        <x:v>Programación + coordinación comunicación</x:v>
      </x:c>
      <x:c r="S159" s="10" t="str">
        <x:v>Dirección + programación + derechos</x:v>
      </x:c>
      <x:c r="T159" s="10" t="str">
        <x:v>Revelación y conversión</x:v>
      </x:c>
      <x:c r="U159" s="10" t="str">
        <x:v>Contrato, grafía, día, horario, derechos, embargo y oferta confirmados</x:v>
      </x:c>
      <x:c r="V159" s="10" t="str">
        <x:v>Contrato, grafía, día, horario, derechos, embargo y oferta confirmados</x:v>
      </x:c>
      <x:c r="W159" s="10" t="str">
        <x:v>edicion formato reel 16:9 de shows comicos familiares con la CCE</x:v>
      </x:c>
      <x:c r="X159" s="10" t="str">
        <x:v>No</x:v>
      </x:c>
      <x:c r="Y159" s="10" t="str">
        <x:f>IF(F159&lt;&gt;"Completada","Sin cierre",IF(OR(H159="",I159=""),"Sin dato",IF(I159&lt;=H159,"A tiempo","Tarde")))</x:f>
        <x:v>A tiempo</x:v>
      </x:c>
      <x:c r="Z159" s="24" t="n">
        <x:f>IF(OR(G159="",H159=""),"",H159-G159)</x:f>
        <x:v>0.36731481481547235</x:v>
      </x:c>
    </x:row>
    <x:row r="160" ht="42" customHeight="1">
      <x:c r="A160" s="10" t="n">
        <x:v>159</x:v>
      </x:c>
      <x:c r="B160" s="10" t="n">
        <x:v>13644</x:v>
      </x:c>
      <x:c r="C160" s="10" t="str">
        <x:v>Streaming de la entrega de boletos dorados</x:v>
      </x:c>
      <x:c r="D160" s="10" t="str">
        <x:v>Zeus Producciones</x:v>
      </x:c>
      <x:c r="E160" s="10" t="str">
        <x:v>Edwin Masa Sisa (identidad por confirmar)</x:v>
      </x:c>
      <x:c r="F160" s="10" t="str">
        <x:v>Completada</x:v>
      </x:c>
      <x:c r="G160" s="23" t="n">
        <x:v>45957.570706018516</x:v>
      </x:c>
      <x:c r="H160" s="23" t="n">
        <x:v>45957.916666666664</x:v>
      </x:c>
      <x:c r="I160" s="23" t="n">
        <x:v>45958.56153935185</x:v>
      </x:c>
      <x:c r="J160" s="10" t="str">
        <x:v>Alex Naranjo, Luis Lara, Pam Villa, Edwin Naula, Edwin Masa Sisa (identidad por confirmar), Stalin Loaiza</x:v>
      </x:c>
      <x:c r="K160" s="10" t="str"/>
      <x:c r="L160" s="10"/>
      <x:c r="M160" s="10" t="str">
        <x:v>F26-05-ENT</x:v>
      </x:c>
      <x:c r="N160" s="10" t="str">
        <x:v>Entradas y conversión</x:v>
      </x:c>
      <x:c r="O160" s="10" t="str">
        <x:v>Preventa, boletería, puntos y disponibilidad</x:v>
      </x:c>
      <x:c r="P160" s="10" t="str">
        <x:v>Convertir con control</x:v>
      </x:c>
      <x:c r="Q160" s="10" t="str">
        <x:v>Alto</x:v>
      </x:c>
      <x:c r="R160" s="10" t="str">
        <x:v>Dueño de entradas/comercial — por asignar</x:v>
      </x:c>
      <x:c r="S160" s="10" t="str">
        <x:v>Dirección + finanzas + operación</x:v>
      </x:c>
      <x:c r="T160" s="10" t="str">
        <x:v>Revelación y preventa</x:v>
      </x:c>
      <x:c r="U160" s="10" t="str">
        <x:v>Oferta, precios, aforo, términos, destino seguro y compra de prueba</x:v>
      </x:c>
      <x:c r="V160" s="10" t="str">
        <x:v>Oferta, precios, aforo, términos, destino seguro y compra de prueba</x:v>
      </x:c>
      <x:c r="W160" s="10" t="str">
        <x:v>Sorteo en vivo de las boletos dorados desde las paginas de Mushuc Tv Stalin Vladimir Gabriel Flores Entrega de los boletos de los boletos de las dinámicas en Tik Tok Pam Villa</x:v>
      </x:c>
      <x:c r="X160" s="10" t="str">
        <x:v>No</x:v>
      </x:c>
      <x:c r="Y160" s="10" t="str">
        <x:f>IF(F160&lt;&gt;"Completada","Sin cierre",IF(OR(H160="",I160=""),"Sin dato",IF(I160&lt;=H160,"A tiempo","Tarde")))</x:f>
        <x:v>Tarde</x:v>
      </x:c>
      <x:c r="Z160" s="24" t="n">
        <x:f>IF(OR(G160="",H160=""),"",H160-G160)</x:f>
        <x:v>0.3459606481483206</x:v>
      </x:c>
    </x:row>
    <x:row r="161" ht="42" customHeight="1">
      <x:c r="A161" s="10" t="n">
        <x:v>160</x:v>
      </x:c>
      <x:c r="B161" s="10" t="n">
        <x:v>13646</x:v>
      </x:c>
      <x:c r="C161" s="10" t="str">
        <x:v>streaming sorteo de entradas</x:v>
      </x:c>
      <x:c r="D161" s="10" t="str">
        <x:v>Zeus Producciones</x:v>
      </x:c>
      <x:c r="E161" s="10" t="str">
        <x:v>Alex Naranjo</x:v>
      </x:c>
      <x:c r="F161" s="10" t="str">
        <x:v>En progreso</x:v>
      </x:c>
      <x:c r="G161" s="23" t="n">
        <x:v>45957.58188657407</x:v>
      </x:c>
      <x:c r="H161" s="23"/>
      <x:c r="I161" s="23"/>
      <x:c r="J161" s="10" t="str"/>
      <x:c r="K161" s="10" t="str"/>
      <x:c r="L161" s="10" t="n">
        <x:v>13644</x:v>
      </x:c>
      <x:c r="M161" s="10" t="str">
        <x:v>F26-05-ENT</x:v>
      </x:c>
      <x:c r="N161" s="10" t="str">
        <x:v>Entradas y conversión</x:v>
      </x:c>
      <x:c r="O161" s="10" t="str">
        <x:v>Preventa, boletería, puntos y disponibilidad</x:v>
      </x:c>
      <x:c r="P161" s="10" t="str">
        <x:v>Convertir con control</x:v>
      </x:c>
      <x:c r="Q161" s="10" t="str">
        <x:v>Alto</x:v>
      </x:c>
      <x:c r="R161" s="10" t="str">
        <x:v>Dueño de entradas/comercial — por asignar</x:v>
      </x:c>
      <x:c r="S161" s="10" t="str">
        <x:v>Dirección + finanzas + operación</x:v>
      </x:c>
      <x:c r="T161" s="10" t="str">
        <x:v>Revelación y preventa</x:v>
      </x:c>
      <x:c r="U161" s="10" t="str">
        <x:v>Oferta, precios, aforo, términos, destino seguro y compra de prueba</x:v>
      </x:c>
      <x:c r="V161" s="10" t="str">
        <x:v>El cierre histórico no quedó completado. Oferta, precios, aforo, términos, destino seguro y compra de prueba</x:v>
      </x:c>
      <x:c r="W161" s="10" t="str">
        <x:v>canales de emicion face: mushuc tv face: complejo tiktok: finados objetivo de la emicion: promocionar la compra de boletos a los eventos anunciar las actividades y atractivos de feria sorteo de boletos dorados fidelizacion de audiencia en los calales oficiales de streaming lugar : studio mtv 5to piso fecha: 27 oct 2025 hora: 5pm se requiere operacion de app sorteos: sorteo BD face finados sorteo BD face cooperativa Sorteo BD insta Fiandos Sorteo BD comunidad de wasap sorteo 5 entradas por video de la cuenta de tiktok finados - vallenatos, dina, amar azul,</x:v>
      </x:c>
      <x:c r="X161" s="10" t="str">
        <x:v>No</x:v>
      </x:c>
      <x:c r="Y161" s="10" t="str">
        <x:f>IF(F161&lt;&gt;"Completada","Sin cierre",IF(OR(H161="",I161=""),"Sin dato",IF(I161&lt;=H161,"A tiempo","Tarde")))</x:f>
        <x:v>Sin cierre</x:v>
      </x:c>
      <x:c r="Z161" s="24" t="str">
        <x:f>IF(OR(G161="",H161=""),"",H161-G161)</x:f>
      </x:c>
    </x:row>
    <x:row r="162" ht="42" customHeight="1">
      <x:c r="A162" s="10" t="n">
        <x:v>161</x:v>
      </x:c>
      <x:c r="B162" s="10" t="n">
        <x:v>13652</x:v>
      </x:c>
      <x:c r="C162" s="10" t="str">
        <x:v>ARMADO DE LOGISTICA DE TRABAJO COMPLEJO MUSHUC RUNA</x:v>
      </x:c>
      <x:c r="D162" s="10" t="str">
        <x:v>Zeus Producciones</x:v>
      </x:c>
      <x:c r="E162" s="10" t="str">
        <x:v>Edwin Masa Sisa (identidad por confirmar)</x:v>
      </x:c>
      <x:c r="F162" s="10" t="str">
        <x:v>Pendiente</x:v>
      </x:c>
      <x:c r="G162" s="23" t="n">
        <x:v>45957.610289351855</x:v>
      </x:c>
      <x:c r="H162" s="23" t="n">
        <x:v>45960.958333333336</x:v>
      </x:c>
      <x:c r="I162" s="23"/>
      <x:c r="J162" s="10" t="str"/>
      <x:c r="K162" s="10" t="str"/>
      <x:c r="L162" s="10"/>
      <x:c r="M162" s="10" t="str">
        <x:v>F26-14-OPS</x:v>
      </x:c>
      <x:c r="N162" s="10" t="str">
        <x:v>Operación en sitio</x:v>
      </x:c>
      <x:c r="O162" s="10" t="str">
        <x:v>Credenciales, señalética, pantallas, espacios y materiales</x:v>
      </x:c>
      <x:c r="P162" s="10" t="str">
        <x:v>Convertir con control</x:v>
      </x:c>
      <x:c r="Q162" s="10" t="str">
        <x:v>Medio</x:v>
      </x:c>
      <x:c r="R162" s="10" t="str">
        <x:v>Producción — Iván (apellido por confirmar) + Leo Sailema</x:v>
      </x:c>
      <x:c r="S162" s="10" t="str">
        <x:v>Operación/seguridad + coordinación general</x:v>
      </x:c>
      <x:c r="T162" s="10" t="str">
        <x:v>Preparación final y vivo</x:v>
      </x:c>
      <x:c r="U162" s="10" t="str">
        <x:v>Plano final, inventario, medidas, responsables y prueba de montaje</x:v>
      </x:c>
      <x:c r="V162" s="10" t="str">
        <x:v>El cierre histórico no quedó completado. Plano final, inventario, medidas, responsables y prueba de montaje</x:v>
      </x:c>
      <x:c r="W162" s="10" t="str">
        <x:v>ADECUACION DE ESPACIO DE TRABAJO PARA EL EQUIPO DE MARKETING PARA EL DESARRROLLO DE FERIA</x:v>
      </x:c>
      <x:c r="X162" s="10" t="str">
        <x:v>No</x:v>
      </x:c>
      <x:c r="Y162" s="10" t="str">
        <x:f>IF(F162&lt;&gt;"Completada","Sin cierre",IF(OR(H162="",I162=""),"Sin dato",IF(I162&lt;=H162,"A tiempo","Tarde")))</x:f>
        <x:v>Sin cierre</x:v>
      </x:c>
      <x:c r="Z162" s="24" t="n">
        <x:f>IF(OR(G162="",H162=""),"",H162-G162)</x:f>
        <x:v>3.348043981481169</x:v>
      </x:c>
    </x:row>
    <x:row r="163" ht="42" customHeight="1">
      <x:c r="A163" s="10" t="n">
        <x:v>162</x:v>
      </x:c>
      <x:c r="B163" s="10" t="n">
        <x:v>13656</x:v>
      </x:c>
      <x:c r="C163" s="10" t="str">
        <x:v>Envió me material y monitoreo de Jefes de agencia</x:v>
      </x:c>
      <x:c r="D163" s="10" t="str">
        <x:v>Isabela Orozco</x:v>
      </x:c>
      <x:c r="E163" s="10" t="str">
        <x:v>Edwin Masa Sisa (identidad por confirmar)</x:v>
      </x:c>
      <x:c r="F163" s="10" t="str">
        <x:v>Pendiente</x:v>
      </x:c>
      <x:c r="G163" s="23" t="n">
        <x:v>45957.62600694445</x:v>
      </x:c>
      <x:c r="H163" s="23" t="n">
        <x:v>45961.958333333336</x:v>
      </x:c>
      <x:c r="I163" s="23"/>
      <x:c r="J163" s="10" t="str"/>
      <x:c r="K163" s="10" t="str"/>
      <x:c r="L163" s="10"/>
      <x:c r="M163" s="10" t="str">
        <x:v>F26-10-PR</x:v>
      </x:c>
      <x:c r="N163" s="10" t="str">
        <x:v>Relaciones públicas</x:v>
      </x:c>
      <x:c r="O163" s="10" t="str">
        <x:v>Prensa, radios, giras y vocerías</x:v>
      </x:c>
      <x:c r="P163" s="10" t="str">
        <x:v>Convertir con control</x:v>
      </x:c>
      <x:c r="Q163" s="10" t="str">
        <x:v>Medio</x:v>
      </x:c>
      <x:c r="R163" s="10" t="str">
        <x:v>Relaciones públicas — Are Morales</x:v>
      </x:c>
      <x:c r="S163" s="10" t="str">
        <x:v>Dirección + vocero autorizado</x:v>
      </x:c>
      <x:c r="T163" s="10" t="str">
        <x:v>Revelación y conversión</x:v>
      </x:c>
      <x:c r="U163" s="10" t="str">
        <x:v>Mensajes, agenda, vocero, ficha factual y monitoreo aprobados</x:v>
      </x:c>
      <x:c r="V163" s="10" t="str">
        <x:v>El cierre histórico no quedó completado. Mensajes, agenda, vocero, ficha factual y monitoreo aprobados</x:v>
      </x:c>
      <x:c r="W163" s="10" t="str">
        <x:v>solicitar a los jefes de agencia a compartir los contenidos de feria, solicitar un link de publicación de los contenciosa pruebas de envió a compañeros.</x:v>
      </x:c>
      <x:c r="X163" s="10" t="str">
        <x:v>No</x:v>
      </x:c>
      <x:c r="Y163" s="10" t="str">
        <x:f>IF(F163&lt;&gt;"Completada","Sin cierre",IF(OR(H163="",I163=""),"Sin dato",IF(I163&lt;=H163,"A tiempo","Tarde")))</x:f>
        <x:v>Sin cierre</x:v>
      </x:c>
      <x:c r="Z163" s="24" t="n">
        <x:f>IF(OR(G163="",H163=""),"",H163-G163)</x:f>
        <x:v>4.3323263888887595</x:v>
      </x:c>
    </x:row>
    <x:row r="164" ht="42" customHeight="1">
      <x:c r="A164" s="10" t="n">
        <x:v>163</x:v>
      </x:c>
      <x:c r="B164" s="10" t="n">
        <x:v>13658</x:v>
      </x:c>
      <x:c r="C164" s="10" t="str">
        <x:v>DISEÑO DE FLYER FINADOS 2025</x:v>
      </x:c>
      <x:c r="D164" s="10" t="str">
        <x:v>Edwin Naula</x:v>
      </x:c>
      <x:c r="E164" s="10" t="str">
        <x:v>Edwin Naula</x:v>
      </x:c>
      <x:c r="F164" s="10" t="str">
        <x:v>Completada</x:v>
      </x:c>
      <x:c r="G164" s="23" t="n">
        <x:v>45957.675462962965</x:v>
      </x:c>
      <x:c r="H164" s="23" t="n">
        <x:v>45957.979166666664</x:v>
      </x:c>
      <x:c r="I164" s="23" t="n">
        <x:v>45957.978055555555</x:v>
      </x:c>
      <x:c r="J164" s="10" t="str">
        <x:v>Stalin Flores</x:v>
      </x:c>
      <x:c r="K164" s="10" t="str"/>
      <x:c r="L164" s="10"/>
      <x:c r="M164" s="10" t="str">
        <x:v>F26-13-SERV</x:v>
      </x:c>
      <x:c r="N164" s="10" t="str">
        <x:v>Servicio, movilidad e información</x:v>
      </x:c>
      <x:c r="O164" s="10" t="str">
        <x:v>Mapa, guía móvil, accesos, parqueaderos, transporte y FAQ</x:v>
      </x:c>
      <x:c r="P164" s="10" t="str">
        <x:v>Convertir con control</x:v>
      </x:c>
      <x:c r="Q164" s="10" t="str">
        <x:v>Alto</x:v>
      </x:c>
      <x:c r="R164" s="10" t="str">
        <x:v>Operación/servicio + tecnología — por asignar</x:v>
      </x:c>
      <x:c r="S164" s="10" t="str">
        <x:v>Operación + seguridad + dirección</x:v>
      </x:c>
      <x:c r="T164" s="10" t="str">
        <x:v>Conversión y vivo</x:v>
      </x:c>
      <x:c r="U164" s="10" t="str">
        <x:v>Plano, capacidades, rutas, políticas y responsables validados</x:v>
      </x:c>
      <x:c r="V164" s="10" t="str">
        <x:v>Plano, capacidades, rutas, políticas y responsables validados</x:v>
      </x:c>
      <x:c r="W164" s="10" t="str">
        <x:v>DISEÑO DE FLYER CON ATRACTIVOS, SHOWS, HORARIOS Y MAPA</x:v>
      </x:c>
      <x:c r="X164" s="10" t="str">
        <x:v>No</x:v>
      </x:c>
      <x:c r="Y164" s="10" t="str">
        <x:f>IF(F164&lt;&gt;"Completada","Sin cierre",IF(OR(H164="",I164=""),"Sin dato",IF(I164&lt;=H164,"A tiempo","Tarde")))</x:f>
        <x:v>A tiempo</x:v>
      </x:c>
      <x:c r="Z164" s="24" t="n">
        <x:f>IF(OR(G164="",H164=""),"",H164-G164)</x:f>
        <x:v>0.30370370369928423</x:v>
      </x:c>
    </x:row>
    <x:row r="165" ht="42" customHeight="1">
      <x:c r="A165" s="10" t="n">
        <x:v>164</x:v>
      </x:c>
      <x:c r="B165" s="10" t="n">
        <x:v>13660</x:v>
      </x:c>
      <x:c r="C165" s="10" t="str">
        <x:v>NUMERACION MESAS 1 -100</x:v>
      </x:c>
      <x:c r="D165" s="10" t="str">
        <x:v>Edwin Naula</x:v>
      </x:c>
      <x:c r="E165" s="10" t="str">
        <x:v>Edwin Naula</x:v>
      </x:c>
      <x:c r="F165" s="10" t="str">
        <x:v>Completada</x:v>
      </x:c>
      <x:c r="G165" s="23" t="n">
        <x:v>45957.6766087963</x:v>
      </x:c>
      <x:c r="H165" s="23" t="n">
        <x:v>45959.958333333336</x:v>
      </x:c>
      <x:c r="I165" s="23" t="n">
        <x:v>45959.86708333333</x:v>
      </x:c>
      <x:c r="J165" s="10" t="str">
        <x:v>Diego Flores (grafía por confirmar), Stalin Loaiza</x:v>
      </x:c>
      <x:c r="K165" s="10" t="str"/>
      <x:c r="L165" s="10"/>
      <x:c r="M165" s="10" t="str">
        <x:v>F26-14-OPS</x:v>
      </x:c>
      <x:c r="N165" s="10" t="str">
        <x:v>Operación en sitio</x:v>
      </x:c>
      <x:c r="O165" s="10" t="str">
        <x:v>Credenciales, señalética, pantallas, espacios y materiales</x:v>
      </x:c>
      <x:c r="P165" s="10" t="str">
        <x:v>Convertir con control</x:v>
      </x:c>
      <x:c r="Q165" s="10" t="str">
        <x:v>Medio</x:v>
      </x:c>
      <x:c r="R165" s="10" t="str">
        <x:v>Producción — Iván (apellido por confirmar) + Leo Sailema</x:v>
      </x:c>
      <x:c r="S165" s="10" t="str">
        <x:v>Operación/seguridad + coordinación general</x:v>
      </x:c>
      <x:c r="T165" s="10" t="str">
        <x:v>Preparación final y vivo</x:v>
      </x:c>
      <x:c r="U165" s="10" t="str">
        <x:v>Plano final, inventario, medidas, responsables y prueba de montaje</x:v>
      </x:c>
      <x:c r="V165" s="10" t="str">
        <x:v>Plano final, inventario, medidas, responsables y prueba de montaje</x:v>
      </x:c>
      <x:c r="W165" s="10" t="str">
        <x:v>diseño de numeración de mesas del 1 al 100</x:v>
      </x:c>
      <x:c r="X165" s="10" t="str">
        <x:v>No</x:v>
      </x:c>
      <x:c r="Y165" s="10" t="str">
        <x:f>IF(F165&lt;&gt;"Completada","Sin cierre",IF(OR(H165="",I165=""),"Sin dato",IF(I165&lt;=H165,"A tiempo","Tarde")))</x:f>
        <x:v>A tiempo</x:v>
      </x:c>
      <x:c r="Z165" s="24" t="n">
        <x:f>IF(OR(G165="",H165=""),"",H165-G165)</x:f>
        <x:v>2.2817245370388264</x:v>
      </x:c>
    </x:row>
    <x:row r="166" ht="42" customHeight="1">
      <x:c r="A166" s="10" t="n">
        <x:v>165</x:v>
      </x:c>
      <x:c r="B166" s="10" t="n">
        <x:v>13662</x:v>
      </x:c>
      <x:c r="C166" s="10" t="str">
        <x:v>LAYER PNG PARA FOTOS Y VIDEO</x:v>
      </x:c>
      <x:c r="D166" s="10" t="str">
        <x:v>Edwin Naula</x:v>
      </x:c>
      <x:c r="E166" s="10" t="str">
        <x:v>Edwin Naula</x:v>
      </x:c>
      <x:c r="F166" s="10" t="str">
        <x:v>Pendiente</x:v>
      </x:c>
      <x:c r="G166" s="23" t="n">
        <x:v>45957.68005787037</x:v>
      </x:c>
      <x:c r="H166" s="23" t="n">
        <x:v>45960.958333333336</x:v>
      </x:c>
      <x:c r="I166" s="23"/>
      <x:c r="J166" s="10" t="str">
        <x:v>Pam Villa, Stalin Flores</x:v>
      </x:c>
      <x:c r="K166" s="10" t="str"/>
      <x:c r="L166" s="10"/>
      <x:c r="M166" s="10" t="str">
        <x:v>F26-14-OPS</x:v>
      </x:c>
      <x:c r="N166" s="10" t="str">
        <x:v>Operación en sitio</x:v>
      </x:c>
      <x:c r="O166" s="10" t="str">
        <x:v>Credenciales, señalética, pantallas, espacios y materiales</x:v>
      </x:c>
      <x:c r="P166" s="10" t="str">
        <x:v>Convertir con control</x:v>
      </x:c>
      <x:c r="Q166" s="10" t="str">
        <x:v>Medio</x:v>
      </x:c>
      <x:c r="R166" s="10" t="str">
        <x:v>Producción — Iván (apellido por confirmar) + Leo Sailema</x:v>
      </x:c>
      <x:c r="S166" s="10" t="str">
        <x:v>Operación/seguridad + coordinación general</x:v>
      </x:c>
      <x:c r="T166" s="10" t="str">
        <x:v>Preparación final y vivo</x:v>
      </x:c>
      <x:c r="U166" s="10" t="str">
        <x:v>Plano final, inventario, medidas, responsables y prueba de montaje</x:v>
      </x:c>
      <x:c r="V166" s="10" t="str">
        <x:v>El cierre histórico no quedó completado. Plano final, inventario, medidas, responsables y prueba de montaje</x:v>
      </x:c>
      <x:c r="W166" s="10" t="str">
        <x:v>Se necesitan layer para fotos FORMATO 16:9 y video FORMATO VERTICAL 9:16, que contengan la informacion de: - INAUGURACION OFICIAL (CON PRIMER DIA) - LOGOTIPOS DE SHOWS (ROCK, CUMBIA, VALLENATO, NACIONAL Y SUREÑA) - LAYER GENERICO SIN DIA - NOMBRES DE TODOS LOS ARTISTAS - DIAS EXPORTADOS CON EL COLOR CORRESPONDIENTE</x:v>
      </x:c>
      <x:c r="X166" s="10" t="str">
        <x:v>No</x:v>
      </x:c>
      <x:c r="Y166" s="10" t="str">
        <x:f>IF(F166&lt;&gt;"Completada","Sin cierre",IF(OR(H166="",I166=""),"Sin dato",IF(I166&lt;=H166,"A tiempo","Tarde")))</x:f>
        <x:v>Sin cierre</x:v>
      </x:c>
      <x:c r="Z166" s="24" t="n">
        <x:f>IF(OR(G166="",H166=""),"",H166-G166)</x:f>
        <x:v>3.2782754629661213</x:v>
      </x:c>
    </x:row>
    <x:row r="167" ht="42" customHeight="1">
      <x:c r="A167" s="10" t="n">
        <x:v>166</x:v>
      </x:c>
      <x:c r="B167" s="10" t="n">
        <x:v>13666</x:v>
      </x:c>
      <x:c r="C167" s="10" t="str">
        <x:v>VIDEO CCE CANTANTES</x:v>
      </x:c>
      <x:c r="D167" s="10" t="str">
        <x:v>Edwin Naula</x:v>
      </x:c>
      <x:c r="E167" s="10" t="str">
        <x:v>Edwin Naula</x:v>
      </x:c>
      <x:c r="F167" s="10" t="str">
        <x:v>Completada</x:v>
      </x:c>
      <x:c r="G167" s="23" t="n">
        <x:v>45957.978159722225</x:v>
      </x:c>
      <x:c r="H167" s="23" t="n">
        <x:v>45957.979166666664</x:v>
      </x:c>
      <x:c r="I167" s="23" t="n">
        <x:v>45957.979733796295</x:v>
      </x:c>
      <x:c r="J167" s="10" t="str">
        <x:v>Pam Villa, Diego Flores (grafía por confirmar), Edwin Naula</x:v>
      </x:c>
      <x:c r="K167" s="10" t="str"/>
      <x:c r="L167" s="10"/>
      <x:c r="M167" s="10" t="str">
        <x:v>F26-12-AV</x:v>
      </x:c>
      <x:c r="N167" s="10" t="str">
        <x:v>Producción audiovisual</x:v>
      </x:c>
      <x:c r="O167" s="10" t="str">
        <x:v>Rodajes, entrevistas, streaming y entregables</x:v>
      </x:c>
      <x:c r="P167" s="10" t="str">
        <x:v>Convertir con control</x:v>
      </x:c>
      <x:c r="Q167" s="10" t="str">
        <x:v>Medio</x:v>
      </x:c>
      <x:c r="R167" s="10" t="str">
        <x:v>Coordinación diseño/audiovisual — Andrés Naula</x:v>
      </x:c>
      <x:c r="S167" s="10" t="str">
        <x:v>Coordinación general + dirección de marketing</x:v>
      </x:c>
      <x:c r="T167" s="10" t="str">
        <x:v>Expectativa, conversión y vivo</x:v>
      </x:c>
      <x:c r="U167" s="10" t="str">
        <x:v>Guion, derechos, agenda, scouting, equipo y plan técnico aprobados</x:v>
      </x:c>
      <x:c r="V167" s="10" t="str">
        <x:v>Guion, derechos, agenda, scouting, equipo y plan técnico aprobados</x:v>
      </x:c>
      <x:c r="W167" s="10" t="str">
        <x:v>EDICION Y GRAFICOS DE CANTANTES DE LA CCE</x:v>
      </x:c>
      <x:c r="X167" s="10" t="str">
        <x:v>No</x:v>
      </x:c>
      <x:c r="Y167" s="10" t="str">
        <x:f>IF(F167&lt;&gt;"Completada","Sin cierre",IF(OR(H167="",I167=""),"Sin dato",IF(I167&lt;=H167,"A tiempo","Tarde")))</x:f>
        <x:v>Tarde</x:v>
      </x:c>
      <x:c r="Z167" s="24" t="n">
        <x:f>IF(OR(G167="",H167=""),"",H167-G167)</x:f>
        <x:v>0.0010069444397231564</x:v>
      </x:c>
    </x:row>
    <x:row r="168" ht="42" customHeight="1">
      <x:c r="A168" s="10" t="n">
        <x:v>167</x:v>
      </x:c>
      <x:c r="B168" s="10" t="n">
        <x:v>13668</x:v>
      </x:c>
      <x:c r="C168" s="10" t="str">
        <x:v>REEL TRANSPORTE SEGURO TEFFY</x:v>
      </x:c>
      <x:c r="D168" s="10" t="str">
        <x:v>Edwin Naula</x:v>
      </x:c>
      <x:c r="E168" s="10" t="str">
        <x:v>Edwin Naula</x:v>
      </x:c>
      <x:c r="F168" s="10" t="str">
        <x:v>Completada</x:v>
      </x:c>
      <x:c r="G168" s="23" t="n">
        <x:v>45958.553125</x:v>
      </x:c>
      <x:c r="H168" s="23" t="n">
        <x:v>45959.958333333336</x:v>
      </x:c>
      <x:c r="I168" s="23" t="n">
        <x:v>45959.86739583333</x:v>
      </x:c>
      <x:c r="J168" s="10" t="str">
        <x:v>Pam Villa, Edwin Naula</x:v>
      </x:c>
      <x:c r="K168" s="10" t="str"/>
      <x:c r="L168" s="10"/>
      <x:c r="M168" s="10" t="str">
        <x:v>F26-13-SERV</x:v>
      </x:c>
      <x:c r="N168" s="10" t="str">
        <x:v>Servicio, movilidad e información</x:v>
      </x:c>
      <x:c r="O168" s="10" t="str">
        <x:v>Mapa, guía móvil, accesos, parqueaderos, transporte y FAQ</x:v>
      </x:c>
      <x:c r="P168" s="10" t="str">
        <x:v>Convertir con control</x:v>
      </x:c>
      <x:c r="Q168" s="10" t="str">
        <x:v>Alto</x:v>
      </x:c>
      <x:c r="R168" s="10" t="str">
        <x:v>Operación/servicio + tecnología — por asignar</x:v>
      </x:c>
      <x:c r="S168" s="10" t="str">
        <x:v>Operación + seguridad + dirección</x:v>
      </x:c>
      <x:c r="T168" s="10" t="str">
        <x:v>Conversión y vivo</x:v>
      </x:c>
      <x:c r="U168" s="10" t="str">
        <x:v>Plano, capacidades, rutas, políticas y responsables validados</x:v>
      </x:c>
      <x:c r="V168" s="10" t="str">
        <x:v>Plano, capacidades, rutas, políticas y responsables validados</x:v>
      </x:c>
      <x:c r="W168" s="10" t="str">
        <x:v>edicion de video reel 9:16 con steffy indicando las ventajas del ransporte seguro mas los horarios</x:v>
      </x:c>
      <x:c r="X168" s="10" t="str">
        <x:v>No</x:v>
      </x:c>
      <x:c r="Y168" s="10" t="str">
        <x:f>IF(F168&lt;&gt;"Completada","Sin cierre",IF(OR(H168="",I168=""),"Sin dato",IF(I168&lt;=H168,"A tiempo","Tarde")))</x:f>
        <x:v>A tiempo</x:v>
      </x:c>
      <x:c r="Z168" s="24" t="n">
        <x:f>IF(OR(G168="",H168=""),"",H168-G168)</x:f>
        <x:v>1.4052083333372138</x:v>
      </x:c>
    </x:row>
    <x:row r="169" ht="42" customHeight="1">
      <x:c r="A169" s="10" t="n">
        <x:v>168</x:v>
      </x:c>
      <x:c r="B169" s="10" t="n">
        <x:v>13670</x:v>
      </x:c>
      <x:c r="C169" s="10" t="str">
        <x:v>REEL MEGAESCENARIO + SHOWS deneb</x:v>
      </x:c>
      <x:c r="D169" s="10" t="str">
        <x:v>Edwin Naula</x:v>
      </x:c>
      <x:c r="E169" s="10" t="str">
        <x:v>Edwin Naula</x:v>
      </x:c>
      <x:c r="F169" s="10" t="str">
        <x:v>Completada</x:v>
      </x:c>
      <x:c r="G169" s="23" t="n">
        <x:v>45958.55400462963</x:v>
      </x:c>
      <x:c r="H169" s="23" t="n">
        <x:v>45959.979166666664</x:v>
      </x:c>
      <x:c r="I169" s="23" t="n">
        <x:v>45959.97671296296</x:v>
      </x:c>
      <x:c r="J169" s="10" t="str">
        <x:v>Pam Villa, Edwin Naula</x:v>
      </x:c>
      <x:c r="K169" s="10" t="str"/>
      <x:c r="L169" s="10"/>
      <x:c r="M169" s="10" t="str">
        <x:v>F26-07-SHOW</x:v>
      </x:c>
      <x:c r="N169" s="10" t="str">
        <x:v>Programación y marketing</x:v>
      </x:c>
      <x:c r="O169" s="10" t="str">
        <x:v>Shows, artistas y programación bajo embargo</x:v>
      </x:c>
      <x:c r="P169" s="10" t="str">
        <x:v>Convertir con control</x:v>
      </x:c>
      <x:c r="Q169" s="10" t="str">
        <x:v>Alto</x:v>
      </x:c>
      <x:c r="R169" s="10" t="str">
        <x:v>Programación + coordinación comunicación</x:v>
      </x:c>
      <x:c r="S169" s="10" t="str">
        <x:v>Dirección + programación + derechos</x:v>
      </x:c>
      <x:c r="T169" s="10" t="str">
        <x:v>Revelación y conversión</x:v>
      </x:c>
      <x:c r="U169" s="10" t="str">
        <x:v>Contrato, grafía, día, horario, derechos, embargo y oferta confirmados</x:v>
      </x:c>
      <x:c r="V169" s="10" t="str">
        <x:v>Contrato, grafía, día, horario, derechos, embargo y oferta confirmados</x:v>
      </x:c>
      <x:c r="W169" s="10" t="str">
        <x:v>rodaje y edicion del reel de shows del megaescenario generando urgencia para venta de entradas</x:v>
      </x:c>
      <x:c r="X169" s="10" t="str">
        <x:v>No</x:v>
      </x:c>
      <x:c r="Y169" s="10" t="str">
        <x:f>IF(F169&lt;&gt;"Completada","Sin cierre",IF(OR(H169="",I169=""),"Sin dato",IF(I169&lt;=H169,"A tiempo","Tarde")))</x:f>
        <x:v>A tiempo</x:v>
      </x:c>
      <x:c r="Z169" s="24" t="n">
        <x:f>IF(OR(G169="",H169=""),"",H169-G169)</x:f>
        <x:v>1.4251620370341698</x:v>
      </x:c>
    </x:row>
    <x:row r="170" ht="42" customHeight="1">
      <x:c r="A170" s="10" t="n">
        <x:v>169</x:v>
      </x:c>
      <x:c r="B170" s="10" t="n">
        <x:v>13672</x:v>
      </x:c>
      <x:c r="C170" s="10" t="str">
        <x:v>REEL DANZA Y CULTURA</x:v>
      </x:c>
      <x:c r="D170" s="10" t="str">
        <x:v>Edwin Naula</x:v>
      </x:c>
      <x:c r="E170" s="10" t="str">
        <x:v>Edwin Naula</x:v>
      </x:c>
      <x:c r="F170" s="10" t="str">
        <x:v>Completada</x:v>
      </x:c>
      <x:c r="G170" s="23" t="n">
        <x:v>45958.55496527778</x:v>
      </x:c>
      <x:c r="H170" s="23" t="n">
        <x:v>45958.958333333336</x:v>
      </x:c>
      <x:c r="I170" s="23" t="n">
        <x:v>45958.561111111114</x:v>
      </x:c>
      <x:c r="J170" s="10" t="str">
        <x:v>Pam Villa, Edwin Naula</x:v>
      </x:c>
      <x:c r="K170" s="10" t="str"/>
      <x:c r="L170" s="10"/>
      <x:c r="M170" s="10" t="str">
        <x:v>F26-08-TRAD</x:v>
      </x:c>
      <x:c r="N170" s="10" t="str">
        <x:v>Experiencia y cultura</x:v>
      </x:c>
      <x:c r="O170" s="10" t="str">
        <x:v>Tradición, concursos, rituales y cinco jornadas</x:v>
      </x:c>
      <x:c r="P170" s="10" t="str">
        <x:v>Convertir con control</x:v>
      </x:c>
      <x:c r="Q170" s="10" t="str">
        <x:v>Medio</x:v>
      </x:c>
      <x:c r="R170" s="10" t="str">
        <x:v>Experiencia + aprobación cultural — por asignar</x:v>
      </x:c>
      <x:c r="S170" s="10" t="str">
        <x:v>Dirección + comunidad/cultura + operación</x:v>
      </x:c>
      <x:c r="T170" s="10" t="str">
        <x:v>Expectativa y experiencia</x:v>
      </x:c>
      <x:c r="U170" s="10" t="str">
        <x:v>Validación cultural, reglas, capacidad y operación documentadas</x:v>
      </x:c>
      <x:c r="V170" s="10" t="str">
        <x:v>Validación cultural, reglas, capacidad y operación documentadas</x:v>
      </x:c>
      <x:c r="W170" s="10" t="str"/>
      <x:c r="X170" s="10" t="str">
        <x:v>No</x:v>
      </x:c>
      <x:c r="Y170" s="10" t="str">
        <x:f>IF(F170&lt;&gt;"Completada","Sin cierre",IF(OR(H170="",I170=""),"Sin dato",IF(I170&lt;=H170,"A tiempo","Tarde")))</x:f>
        <x:v>A tiempo</x:v>
      </x:c>
      <x:c r="Z170" s="24" t="n">
        <x:f>IF(OR(G170="",H170=""),"",H170-G170)</x:f>
        <x:v>0.4033680555585306</x:v>
      </x:c>
    </x:row>
    <x:row r="171" ht="42" customHeight="1">
      <x:c r="A171" s="10" t="n">
        <x:v>170</x:v>
      </x:c>
      <x:c r="B171" s="10" t="n">
        <x:v>13674</x:v>
      </x:c>
      <x:c r="C171" s="10" t="str">
        <x:v>REEL PRESENTADORAS DE TV</x:v>
      </x:c>
      <x:c r="D171" s="10" t="str">
        <x:v>Edwin Naula</x:v>
      </x:c>
      <x:c r="E171" s="10" t="str">
        <x:v>Edwin Naula</x:v>
      </x:c>
      <x:c r="F171" s="10" t="str">
        <x:v>Completada</x:v>
      </x:c>
      <x:c r="G171" s="23" t="n">
        <x:v>45958.55563657408</x:v>
      </x:c>
      <x:c r="H171" s="23" t="n">
        <x:v>45958.958333333336</x:v>
      </x:c>
      <x:c r="I171" s="23" t="n">
        <x:v>45958.8972337963</x:v>
      </x:c>
      <x:c r="J171" s="10" t="str">
        <x:v>Pam Villa, Edwin Naula</x:v>
      </x:c>
      <x:c r="K171" s="10" t="str"/>
      <x:c r="L171" s="10"/>
      <x:c r="M171" s="10" t="str">
        <x:v>F26-07-SHOW</x:v>
      </x:c>
      <x:c r="N171" s="10" t="str">
        <x:v>Programación y marketing</x:v>
      </x:c>
      <x:c r="O171" s="10" t="str">
        <x:v>Shows, artistas y programación bajo embargo</x:v>
      </x:c>
      <x:c r="P171" s="10" t="str">
        <x:v>Convertir con control</x:v>
      </x:c>
      <x:c r="Q171" s="10" t="str">
        <x:v>Alto</x:v>
      </x:c>
      <x:c r="R171" s="10" t="str">
        <x:v>Programación + coordinación comunicación</x:v>
      </x:c>
      <x:c r="S171" s="10" t="str">
        <x:v>Dirección + programación + derechos</x:v>
      </x:c>
      <x:c r="T171" s="10" t="str">
        <x:v>Revelación y conversión</x:v>
      </x:c>
      <x:c r="U171" s="10" t="str">
        <x:v>Contrato, grafía, día, horario, derechos, embargo y oferta confirmados</x:v>
      </x:c>
      <x:c r="V171" s="10" t="str">
        <x:v>Contrato, grafía, día, horario, derechos, embargo y oferta confirmados</x:v>
      </x:c>
      <x:c r="W171" s="10" t="str">
        <x:v>EDICION DE VIDEO REEL PRESENTADORAS DE TV INVITANDO A LA FERIA Y SHOWS</x:v>
      </x:c>
      <x:c r="X171" s="10" t="str">
        <x:v>No</x:v>
      </x:c>
      <x:c r="Y171" s="10" t="str">
        <x:f>IF(F171&lt;&gt;"Completada","Sin cierre",IF(OR(H171="",I171=""),"Sin dato",IF(I171&lt;=H171,"A tiempo","Tarde")))</x:f>
        <x:v>A tiempo</x:v>
      </x:c>
      <x:c r="Z171" s="24" t="n">
        <x:f>IF(OR(G171="",H171=""),"",H171-G171)</x:f>
        <x:v>0.4026967592581059</x:v>
      </x:c>
    </x:row>
    <x:row r="172" ht="42" customHeight="1">
      <x:c r="A172" s="10" t="n">
        <x:v>171</x:v>
      </x:c>
      <x:c r="B172" s="10" t="n">
        <x:v>13676</x:v>
      </x:c>
      <x:c r="C172" s="10" t="str">
        <x:v>REEL VOZ TIK TOK FINADOS</x:v>
      </x:c>
      <x:c r="D172" s="10" t="str">
        <x:v>Edwin Naula</x:v>
      </x:c>
      <x:c r="E172" s="10" t="str">
        <x:v>Edwin Naula</x:v>
      </x:c>
      <x:c r="F172" s="10" t="str">
        <x:v>Completada</x:v>
      </x:c>
      <x:c r="G172" s="23" t="n">
        <x:v>45958.556342592594</x:v>
      </x:c>
      <x:c r="H172" s="23" t="n">
        <x:v>45958.958333333336</x:v>
      </x:c>
      <x:c r="I172" s="23" t="n">
        <x:v>45958.89710648148</x:v>
      </x:c>
      <x:c r="J172" s="10" t="str">
        <x:v>Pam Villa, Andrés Flores, Edwin Naula</x:v>
      </x:c>
      <x:c r="K172" s="10" t="str"/>
      <x:c r="L172" s="10"/>
      <x:c r="M172" s="10" t="str">
        <x:v>F26-06-CONT</x:v>
      </x:c>
      <x:c r="N172" s="10" t="str">
        <x:v>Marketing y comunicación</x:v>
      </x:c>
      <x:c r="O172" s="10" t="str">
        <x:v>Sistema editorial, redes y piezas recurrentes</x:v>
      </x:c>
      <x:c r="P172" s="10" t="str">
        <x:v>Consolidar en paquete 2026</x:v>
      </x:c>
      <x:c r="Q172" s="10" t="str">
        <x:v>Medio</x:v>
      </x:c>
      <x:c r="R172" s="10" t="str">
        <x:v>Coordinación comunicación — Andrés (apellido por confirmar)</x:v>
      </x:c>
      <x:c r="S172" s="10" t="str">
        <x:v>Dirección de marketing — Andrés Naranjo</x:v>
      </x:c>
      <x:c r="T172" s="10" t="str">
        <x:v>Expectativa y conversión</x:v>
      </x:c>
      <x:c r="U172" s="10" t="str">
        <x:v>Brief, fuente vigente, CTA verificable y QA antes de publicar</x:v>
      </x:c>
      <x:c r="V172" s="10" t="str">
        <x:v>Evitar microtareas ad hoc; trabajar desde un brief, plantilla, dueño y fecha de aprobación.</x:v>
      </x:c>
      <x:c r="W172" s="10" t="str">
        <x:v>EDICION Y GENERACION DE VOZ DE TIK TOK PARA REEL DE FERIA EN GENRAL</x:v>
      </x:c>
      <x:c r="X172" s="10" t="str">
        <x:v>No</x:v>
      </x:c>
      <x:c r="Y172" s="10" t="str">
        <x:f>IF(F172&lt;&gt;"Completada","Sin cierre",IF(OR(H172="",I172=""),"Sin dato",IF(I172&lt;=H172,"A tiempo","Tarde")))</x:f>
        <x:v>A tiempo</x:v>
      </x:c>
      <x:c r="Z172" s="24" t="n">
        <x:f>IF(OR(G172="",H172=""),"",H172-G172)</x:f>
        <x:v>0.4019907407418941</x:v>
      </x:c>
    </x:row>
    <x:row r="173" ht="42" customHeight="1">
      <x:c r="A173" s="10" t="n">
        <x:v>172</x:v>
      </x:c>
      <x:c r="B173" s="10" t="n">
        <x:v>13678</x:v>
      </x:c>
      <x:c r="C173" s="10" t="str">
        <x:v>REEL DENEB PLANES PARA EL FERIADO</x:v>
      </x:c>
      <x:c r="D173" s="10" t="str">
        <x:v>Edwin Naula</x:v>
      </x:c>
      <x:c r="E173" s="10" t="str">
        <x:v>Edwin Naula</x:v>
      </x:c>
      <x:c r="F173" s="10" t="str">
        <x:v>Completada</x:v>
      </x:c>
      <x:c r="G173" s="23" t="n">
        <x:v>45958.557337962964</x:v>
      </x:c>
      <x:c r="H173" s="23" t="n">
        <x:v>45958.958333333336</x:v>
      </x:c>
      <x:c r="I173" s="23" t="n">
        <x:v>45958.89696759259</x:v>
      </x:c>
      <x:c r="J173" s="10" t="str">
        <x:v>Pam Villa, Edwin Naula</x:v>
      </x:c>
      <x:c r="K173" s="10" t="str"/>
      <x:c r="L173" s="10"/>
      <x:c r="M173" s="10" t="str">
        <x:v>F26-09-CREA</x:v>
      </x:c>
      <x:c r="N173" s="10" t="str">
        <x:v>Creadores y comunidad</x:v>
      </x:c>
      <x:c r="O173" s="10" t="str">
        <x:v>Influencers, embajadores y referidos</x:v>
      </x:c>
      <x:c r="P173" s="10" t="str">
        <x:v>Convertir con control</x:v>
      </x:c>
      <x:c r="Q173" s="10" t="str">
        <x:v>Medio</x:v>
      </x:c>
      <x:c r="R173" s="10" t="str">
        <x:v>Coordinación comunicación + relaciones públicas</x:v>
      </x:c>
      <x:c r="S173" s="10" t="str">
        <x:v>Dirección de marketing + legal/finanzas cuando aplique</x:v>
      </x:c>
      <x:c r="T173" s="10" t="str">
        <x:v>Expectativa y conversión</x:v>
      </x:c>
      <x:c r="U173" s="10" t="str">
        <x:v>Brief, derechos, selección, compensación fija y evidencia verificable</x:v>
      </x:c>
      <x:c r="V173" s="10" t="str">
        <x:v>Brief, derechos, selección, compensación fija y evidencia verificable</x:v>
      </x:c>
      <x:c r="W173" s="10" t="str">
        <x:v>EDICION DEL VIDEO REEL CON DENEB PRESENTANDO LA FERIA Y SUGIRIENDO PLANES PARA EL FERIADO</x:v>
      </x:c>
      <x:c r="X173" s="10" t="str">
        <x:v>No</x:v>
      </x:c>
      <x:c r="Y173" s="10" t="str">
        <x:f>IF(F173&lt;&gt;"Completada","Sin cierre",IF(OR(H173="",I173=""),"Sin dato",IF(I173&lt;=H173,"A tiempo","Tarde")))</x:f>
        <x:v>A tiempo</x:v>
      </x:c>
      <x:c r="Z173" s="24" t="n">
        <x:f>IF(OR(G173="",H173=""),"",H173-G173)</x:f>
        <x:v>0.40099537037167465</x:v>
      </x:c>
    </x:row>
    <x:row r="174" ht="42" customHeight="1">
      <x:c r="A174" s="10" t="n">
        <x:v>173</x:v>
      </x:c>
      <x:c r="B174" s="10" t="n">
        <x:v>13680</x:v>
      </x:c>
      <x:c r="C174" s="10" t="str">
        <x:v>REEL RADIO SONORAMA INVITACION</x:v>
      </x:c>
      <x:c r="D174" s="10" t="str">
        <x:v>Edwin Naula</x:v>
      </x:c>
      <x:c r="E174" s="10" t="str">
        <x:v>Edwin Naula</x:v>
      </x:c>
      <x:c r="F174" s="10" t="str">
        <x:v>Completada</x:v>
      </x:c>
      <x:c r="G174" s="23" t="n">
        <x:v>45958.55909722222</x:v>
      </x:c>
      <x:c r="H174" s="23" t="n">
        <x:v>45958.958333333336</x:v>
      </x:c>
      <x:c r="I174" s="23" t="n">
        <x:v>45958.896585648145</x:v>
      </x:c>
      <x:c r="J174" s="10" t="str">
        <x:v>Pam Villa, Edwin Naula</x:v>
      </x:c>
      <x:c r="K174" s="10" t="str"/>
      <x:c r="L174" s="10"/>
      <x:c r="M174" s="10" t="str">
        <x:v>F26-10-PR</x:v>
      </x:c>
      <x:c r="N174" s="10" t="str">
        <x:v>Relaciones públicas</x:v>
      </x:c>
      <x:c r="O174" s="10" t="str">
        <x:v>Prensa, radios, giras y vocerías</x:v>
      </x:c>
      <x:c r="P174" s="10" t="str">
        <x:v>Convertir con control</x:v>
      </x:c>
      <x:c r="Q174" s="10" t="str">
        <x:v>Medio</x:v>
      </x:c>
      <x:c r="R174" s="10" t="str">
        <x:v>Relaciones públicas — Are Morales</x:v>
      </x:c>
      <x:c r="S174" s="10" t="str">
        <x:v>Dirección + vocero autorizado</x:v>
      </x:c>
      <x:c r="T174" s="10" t="str">
        <x:v>Revelación y conversión</x:v>
      </x:c>
      <x:c r="U174" s="10" t="str">
        <x:v>Mensajes, agenda, vocero, ficha factual y monitoreo aprobados</x:v>
      </x:c>
      <x:c r="V174" s="10" t="str">
        <x:v>Mensajes, agenda, vocero, ficha factual y monitoreo aprobados</x:v>
      </x:c>
      <x:c r="W174" s="10" t="str">
        <x:v>EDICION VIDEO REEL RADIO SONORAMA INVITANDO A FERIA Y LA COLADA MORADA - TREND BAILABLE AMAR AZUL</x:v>
      </x:c>
      <x:c r="X174" s="10" t="str">
        <x:v>No</x:v>
      </x:c>
      <x:c r="Y174" s="10" t="str">
        <x:f>IF(F174&lt;&gt;"Completada","Sin cierre",IF(OR(H174="",I174=""),"Sin dato",IF(I174&lt;=H174,"A tiempo","Tarde")))</x:f>
        <x:v>A tiempo</x:v>
      </x:c>
      <x:c r="Z174" s="24" t="n">
        <x:f>IF(OR(G174="",H174=""),"",H174-G174)</x:f>
        <x:v>0.3992361111158971</x:v>
      </x:c>
    </x:row>
    <x:row r="175" ht="42" customHeight="1">
      <x:c r="A175" s="10" t="n">
        <x:v>174</x:v>
      </x:c>
      <x:c r="B175" s="10" t="n">
        <x:v>13686</x:v>
      </x:c>
      <x:c r="C175" s="10" t="str">
        <x:v>ADAPTACION DE LICORES A TOTEMS</x:v>
      </x:c>
      <x:c r="D175" s="10" t="str">
        <x:v>Edwin Naula</x:v>
      </x:c>
      <x:c r="E175" s="10" t="str">
        <x:v>Edwin Naula</x:v>
      </x:c>
      <x:c r="F175" s="10" t="str">
        <x:v>Completada</x:v>
      </x:c>
      <x:c r="G175" s="23" t="n">
        <x:v>45958.56710648148</x:v>
      </x:c>
      <x:c r="H175" s="23" t="n">
        <x:v>45958.958333333336</x:v>
      </x:c>
      <x:c r="I175" s="23" t="n">
        <x:v>45958.95989583333</x:v>
      </x:c>
      <x:c r="J175" s="10" t="str">
        <x:v>Diego Flores (grafía por confirmar), Edwin Naula</x:v>
      </x:c>
      <x:c r="K175" s="10" t="str"/>
      <x:c r="L175" s="10"/>
      <x:c r="M175" s="10" t="str">
        <x:v>F26-14-OPS</x:v>
      </x:c>
      <x:c r="N175" s="10" t="str">
        <x:v>Operación en sitio</x:v>
      </x:c>
      <x:c r="O175" s="10" t="str">
        <x:v>Credenciales, señalética, pantallas, espacios y materiales</x:v>
      </x:c>
      <x:c r="P175" s="10" t="str">
        <x:v>Convertir con control</x:v>
      </x:c>
      <x:c r="Q175" s="10" t="str">
        <x:v>Medio</x:v>
      </x:c>
      <x:c r="R175" s="10" t="str">
        <x:v>Producción — Iván (apellido por confirmar) + Leo Sailema</x:v>
      </x:c>
      <x:c r="S175" s="10" t="str">
        <x:v>Operación/seguridad + coordinación general</x:v>
      </x:c>
      <x:c r="T175" s="10" t="str">
        <x:v>Preparación final y vivo</x:v>
      </x:c>
      <x:c r="U175" s="10" t="str">
        <x:v>Plano final, inventario, medidas, responsables y prueba de montaje</x:v>
      </x:c>
      <x:c r="V175" s="10" t="str">
        <x:v>Plano final, inventario, medidas, responsables y prueba de montaje</x:v>
      </x:c>
      <x:c r="W175" s="10" t="str">
        <x:v>se requiere la adaptación de licores de 16:9 a 9:16 para totems</x:v>
      </x:c>
      <x:c r="X175" s="10" t="str">
        <x:v>No</x:v>
      </x:c>
      <x:c r="Y175" s="10" t="str">
        <x:f>IF(F175&lt;&gt;"Completada","Sin cierre",IF(OR(H175="",I175=""),"Sin dato",IF(I175&lt;=H175,"A tiempo","Tarde")))</x:f>
        <x:v>Tarde</x:v>
      </x:c>
      <x:c r="Z175" s="24" t="n">
        <x:f>IF(OR(G175="",H175=""),"",H175-G175)</x:f>
        <x:v>0.39122685185429873</x:v>
      </x:c>
    </x:row>
    <x:row r="176" ht="42" customHeight="1">
      <x:c r="A176" s="10" t="n">
        <x:v>175</x:v>
      </x:c>
      <x:c r="B176" s="10" t="n">
        <x:v>13690</x:v>
      </x:c>
      <x:c r="C176" s="10" t="str">
        <x:v>DISEÑO Y ANIMACION DE PANTALLAS POR DIA Y TOTEMS LED</x:v>
      </x:c>
      <x:c r="D176" s="10" t="str">
        <x:v>Edwin Naula</x:v>
      </x:c>
      <x:c r="E176" s="10" t="str">
        <x:v>Edwin Naula</x:v>
      </x:c>
      <x:c r="F176" s="10" t="str">
        <x:v>Pendiente</x:v>
      </x:c>
      <x:c r="G176" s="23" t="n">
        <x:v>45958.569444444445</x:v>
      </x:c>
      <x:c r="H176" s="23" t="n">
        <x:v>45960.958333333336</x:v>
      </x:c>
      <x:c r="I176" s="23"/>
      <x:c r="J176" s="10" t="str">
        <x:v>Diego Flores (grafía por confirmar), Zeus Producciones, Edwin Naula</x:v>
      </x:c>
      <x:c r="K176" s="10" t="str"/>
      <x:c r="L176" s="10"/>
      <x:c r="M176" s="10" t="str">
        <x:v>F26-14-OPS</x:v>
      </x:c>
      <x:c r="N176" s="10" t="str">
        <x:v>Operación en sitio</x:v>
      </x:c>
      <x:c r="O176" s="10" t="str">
        <x:v>Credenciales, señalética, pantallas, espacios y materiales</x:v>
      </x:c>
      <x:c r="P176" s="10" t="str">
        <x:v>Convertir con control</x:v>
      </x:c>
      <x:c r="Q176" s="10" t="str">
        <x:v>Medio</x:v>
      </x:c>
      <x:c r="R176" s="10" t="str">
        <x:v>Producción — Iván (apellido por confirmar) + Leo Sailema</x:v>
      </x:c>
      <x:c r="S176" s="10" t="str">
        <x:v>Operación/seguridad + coordinación general</x:v>
      </x:c>
      <x:c r="T176" s="10" t="str">
        <x:v>Preparación final y vivo</x:v>
      </x:c>
      <x:c r="U176" s="10" t="str">
        <x:v>Plano final, inventario, medidas, responsables y prueba de montaje</x:v>
      </x:c>
      <x:c r="V176" s="10" t="str">
        <x:v>El cierre histórico no quedó completado. Plano final, inventario, medidas, responsables y prueba de montaje</x:v>
      </x:c>
      <x:c r="W176" s="10" t="str">
        <x:v>Se requiere la animación en dos formatos para la proyección del cronograma diario en pantallas y totems led</x:v>
      </x:c>
      <x:c r="X176" s="10" t="str">
        <x:v>No</x:v>
      </x:c>
      <x:c r="Y176" s="10" t="str">
        <x:f>IF(F176&lt;&gt;"Completada","Sin cierre",IF(OR(H176="",I176=""),"Sin dato",IF(I176&lt;=H176,"A tiempo","Tarde")))</x:f>
        <x:v>Sin cierre</x:v>
      </x:c>
      <x:c r="Z176" s="24" t="n">
        <x:f>IF(OR(G176="",H176=""),"",H176-G176)</x:f>
        <x:v>2.3888888888905058</x:v>
      </x:c>
    </x:row>
    <x:row r="177" ht="42" customHeight="1">
      <x:c r="A177" s="10" t="n">
        <x:v>176</x:v>
      </x:c>
      <x:c r="B177" s="10" t="n">
        <x:v>13692</x:v>
      </x:c>
      <x:c r="C177" s="10" t="str">
        <x:v>URGENTE * RUEDA DE PRENSA *</x:v>
      </x:c>
      <x:c r="D177" s="10" t="str">
        <x:v>Edwin Naula</x:v>
      </x:c>
      <x:c r="E177" s="10" t="str">
        <x:v>Edwin Naula</x:v>
      </x:c>
      <x:c r="F177" s="10" t="str">
        <x:v>Completada</x:v>
      </x:c>
      <x:c r="G177" s="23" t="n">
        <x:v>45958.595</x:v>
      </x:c>
      <x:c r="H177" s="23" t="n">
        <x:v>45958.958333333336</x:v>
      </x:c>
      <x:c r="I177" s="23" t="n">
        <x:v>45958.89672453704</x:v>
      </x:c>
      <x:c r="J177" s="10" t="str">
        <x:v>Pam Villa, Valery Paredes</x:v>
      </x:c>
      <x:c r="K177" s="10" t="str"/>
      <x:c r="L177" s="10"/>
      <x:c r="M177" s="10" t="str">
        <x:v>F26-10-PR</x:v>
      </x:c>
      <x:c r="N177" s="10" t="str">
        <x:v>Relaciones públicas</x:v>
      </x:c>
      <x:c r="O177" s="10" t="str">
        <x:v>Prensa, radios, giras y vocerías</x:v>
      </x:c>
      <x:c r="P177" s="10" t="str">
        <x:v>Convertir con control</x:v>
      </x:c>
      <x:c r="Q177" s="10" t="str">
        <x:v>Medio</x:v>
      </x:c>
      <x:c r="R177" s="10" t="str">
        <x:v>Relaciones públicas — Are Morales</x:v>
      </x:c>
      <x:c r="S177" s="10" t="str">
        <x:v>Dirección + vocero autorizado</x:v>
      </x:c>
      <x:c r="T177" s="10" t="str">
        <x:v>Revelación y conversión</x:v>
      </x:c>
      <x:c r="U177" s="10" t="str">
        <x:v>Mensajes, agenda, vocero, ficha factual y monitoreo aprobados</x:v>
      </x:c>
      <x:c r="V177" s="10" t="str">
        <x:v>Mensajes, agenda, vocero, ficha factual y monitoreo aprobados</x:v>
      </x:c>
      <x:c r="W177" s="10" t="str">
        <x:v>DIseño POST de rueda de prensa con los siguientes datos: Fecha: Miércoles 29 de octubre de 2025 Hora: 12:00pm Lugar: Auditorio 5to piso Mushuc Runa COAC Tema: Finados Mushuc Runa 2025</x:v>
      </x:c>
      <x:c r="X177" s="10" t="str">
        <x:v>No</x:v>
      </x:c>
      <x:c r="Y177" s="10" t="str">
        <x:f>IF(F177&lt;&gt;"Completada","Sin cierre",IF(OR(H177="",I177=""),"Sin dato",IF(I177&lt;=H177,"A tiempo","Tarde")))</x:f>
        <x:v>A tiempo</x:v>
      </x:c>
      <x:c r="Z177" s="24" t="n">
        <x:f>IF(OR(G177="",H177=""),"",H177-G177)</x:f>
        <x:v>0.3633333333345945</x:v>
      </x:c>
    </x:row>
    <x:row r="178" ht="42" customHeight="1">
      <x:c r="A178" s="10" t="n">
        <x:v>177</x:v>
      </x:c>
      <x:c r="B178" s="10" t="n">
        <x:v>13696</x:v>
      </x:c>
      <x:c r="C178" s="10" t="str">
        <x:v>Rueda de prensa y firma de convenio con Graiman y Texilana.</x:v>
      </x:c>
      <x:c r="D178" s="10" t="str">
        <x:v>Isabela Orozco</x:v>
      </x:c>
      <x:c r="E178" s="10" t="str">
        <x:v>Isabela Orozco</x:v>
      </x:c>
      <x:c r="F178" s="10" t="str">
        <x:v>Completada</x:v>
      </x:c>
      <x:c r="G178" s="23" t="n">
        <x:v>45958.668171296296</x:v>
      </x:c>
      <x:c r="H178" s="23" t="n">
        <x:v>45959.958333333336</x:v>
      </x:c>
      <x:c r="I178" s="23" t="n">
        <x:v>45959.9771412037</x:v>
      </x:c>
      <x:c r="J178" s="10" t="str">
        <x:v>Pam Villa, Valery Paredes, Sonia Estrella, Edwin Naula, Edwin Masa Sisa (identidad por confirmar)</x:v>
      </x:c>
      <x:c r="K178" s="10" t="str"/>
      <x:c r="L178" s="10"/>
      <x:c r="M178" s="10" t="str">
        <x:v>F26-03-PAT</x:v>
      </x:c>
      <x:c r="N178" s="10" t="str">
        <x:v>Patrocinios y aliados</x:v>
      </x:c>
      <x:c r="O178" s="10" t="str">
        <x:v>Auspiciantes: altas, activos, beneficios y evidencia</x:v>
      </x:c>
      <x:c r="P178" s="10" t="str">
        <x:v>Convertir con control</x:v>
      </x:c>
      <x:c r="Q178" s="10" t="str">
        <x:v>Medio</x:v>
      </x:c>
      <x:c r="R178" s="10" t="str">
        <x:v>Dueño de patrocinadores — por asignar</x:v>
      </x:c>
      <x:c r="S178" s="10" t="str">
        <x:v>Dirección + finanzas/comercial</x:v>
      </x:c>
      <x:c r="T178" s="10" t="str">
        <x:v>Revelación y preventa</x:v>
      </x:c>
      <x:c r="U178" s="10" t="str">
        <x:v>Contrato, inventario de beneficios y master de logos conciliados</x:v>
      </x:c>
      <x:c r="V178" s="10" t="str">
        <x:v>Contrato, inventario de beneficios y master de logos conciliados</x:v>
      </x:c>
      <x:c r="W178" s="10" t="str">
        <x:v>Rueda de prensa avances de la feria de Finados Mushuc Runa 2025 en el 5to piso de la Cooperativa de Ahorro y Crédito Mushuc Runa a las 12h00.</x:v>
      </x:c>
      <x:c r="X178" s="10" t="str">
        <x:v>No</x:v>
      </x:c>
      <x:c r="Y178" s="10" t="str">
        <x:f>IF(F178&lt;&gt;"Completada","Sin cierre",IF(OR(H178="",I178=""),"Sin dato",IF(I178&lt;=H178,"A tiempo","Tarde")))</x:f>
        <x:v>Tarde</x:v>
      </x:c>
      <x:c r="Z178" s="24" t="n">
        <x:f>IF(OR(G178="",H178=""),"",H178-G178)</x:f>
        <x:v>1.2901620370394085</x:v>
      </x:c>
    </x:row>
    <x:row r="179" ht="42" customHeight="1">
      <x:c r="A179" s="10" t="n">
        <x:v>178</x:v>
      </x:c>
      <x:c r="B179" s="10" t="n">
        <x:v>13700</x:v>
      </x:c>
      <x:c r="C179" s="10" t="str">
        <x:v>TICKET PASE A ALMUERZO MEDIOS DE COMUNICACION</x:v>
      </x:c>
      <x:c r="D179" s="10" t="str">
        <x:v>Edwin Naula</x:v>
      </x:c>
      <x:c r="E179" s="10" t="str">
        <x:v>Edwin Naula</x:v>
      </x:c>
      <x:c r="F179" s="10" t="str">
        <x:v>Completada</x:v>
      </x:c>
      <x:c r="G179" s="23" t="n">
        <x:v>45958.69865740741</x:v>
      </x:c>
      <x:c r="H179" s="23" t="n">
        <x:v>45958.979166666664</x:v>
      </x:c>
      <x:c r="I179" s="23" t="n">
        <x:v>45958.98038194444</x:v>
      </x:c>
      <x:c r="J179" s="10" t="str">
        <x:v>Valery Paredes, Isabela Orozco</x:v>
      </x:c>
      <x:c r="K179" s="10" t="str"/>
      <x:c r="L179" s="10"/>
      <x:c r="M179" s="10" t="str">
        <x:v>F26-10-PR</x:v>
      </x:c>
      <x:c r="N179" s="10" t="str">
        <x:v>Relaciones públicas</x:v>
      </x:c>
      <x:c r="O179" s="10" t="str">
        <x:v>Prensa, radios, giras y vocerías</x:v>
      </x:c>
      <x:c r="P179" s="10" t="str">
        <x:v>Convertir con control</x:v>
      </x:c>
      <x:c r="Q179" s="10" t="str">
        <x:v>Medio</x:v>
      </x:c>
      <x:c r="R179" s="10" t="str">
        <x:v>Relaciones públicas — Are Morales</x:v>
      </x:c>
      <x:c r="S179" s="10" t="str">
        <x:v>Dirección + vocero autorizado</x:v>
      </x:c>
      <x:c r="T179" s="10" t="str">
        <x:v>Revelación y conversión</x:v>
      </x:c>
      <x:c r="U179" s="10" t="str">
        <x:v>Mensajes, agenda, vocero, ficha factual y monitoreo aprobados</x:v>
      </x:c>
      <x:c r="V179" s="10" t="str">
        <x:v>Mensajes, agenda, vocero, ficha factual y monitoreo aprobados</x:v>
      </x:c>
      <x:c r="W179" s="10" t="str">
        <x:v>Se requieren tickets de numeración del 1 al 80 para el almuerzo a medios de comunicacion</x:v>
      </x:c>
      <x:c r="X179" s="10" t="str">
        <x:v>No</x:v>
      </x:c>
      <x:c r="Y179" s="10" t="str">
        <x:f>IF(F179&lt;&gt;"Completada","Sin cierre",IF(OR(H179="",I179=""),"Sin dato",IF(I179&lt;=H179,"A tiempo","Tarde")))</x:f>
        <x:v>Tarde</x:v>
      </x:c>
      <x:c r="Z179" s="24" t="n">
        <x:f>IF(OR(G179="",H179=""),"",H179-G179)</x:f>
        <x:v>0.2805092592534493</x:v>
      </x:c>
    </x:row>
    <x:row r="180" ht="42" customHeight="1">
      <x:c r="A180" s="10" t="n">
        <x:v>179</x:v>
      </x:c>
      <x:c r="B180" s="10" t="n">
        <x:v>13702</x:v>
      </x:c>
      <x:c r="C180" s="10" t="str">
        <x:v>CREAR TEXTO PARA PROMOCION PARQUEADEROS</x:v>
      </x:c>
      <x:c r="D180" s="10" t="str">
        <x:v>Edwin Naula</x:v>
      </x:c>
      <x:c r="E180" s="10" t="str">
        <x:v>Edwin Naula</x:v>
      </x:c>
      <x:c r="F180" s="10" t="str">
        <x:v>Completada</x:v>
      </x:c>
      <x:c r="G180" s="23" t="n">
        <x:v>45958.71534722222</x:v>
      </x:c>
      <x:c r="H180" s="23" t="n">
        <x:v>45958.979166666664</x:v>
      </x:c>
      <x:c r="I180" s="23" t="n">
        <x:v>45958.96487268519</x:v>
      </x:c>
      <x:c r="J180" s="10" t="str">
        <x:v>Pam Villa, Isabela Orozco, Andrés Flores, Edwin Naula</x:v>
      </x:c>
      <x:c r="K180" s="10" t="str"/>
      <x:c r="L180" s="10"/>
      <x:c r="M180" s="10" t="str">
        <x:v>F26-13-SERV</x:v>
      </x:c>
      <x:c r="N180" s="10" t="str">
        <x:v>Servicio, movilidad e información</x:v>
      </x:c>
      <x:c r="O180" s="10" t="str">
        <x:v>Mapa, guía móvil, accesos, parqueaderos, transporte y FAQ</x:v>
      </x:c>
      <x:c r="P180" s="10" t="str">
        <x:v>Convertir con control</x:v>
      </x:c>
      <x:c r="Q180" s="10" t="str">
        <x:v>Alto</x:v>
      </x:c>
      <x:c r="R180" s="10" t="str">
        <x:v>Operación/servicio + tecnología — por asignar</x:v>
      </x:c>
      <x:c r="S180" s="10" t="str">
        <x:v>Operación + seguridad + dirección</x:v>
      </x:c>
      <x:c r="T180" s="10" t="str">
        <x:v>Conversión y vivo</x:v>
      </x:c>
      <x:c r="U180" s="10" t="str">
        <x:v>Plano, capacidades, rutas, políticas y responsables validados</x:v>
      </x:c>
      <x:c r="V180" s="10" t="str">
        <x:v>Plano, capacidades, rutas, políticas y responsables validados</x:v>
      </x:c>
      <x:c r="W180" s="10" t="str">
        <x:v>CREAR UN TEXTO PARA SPOT PROMOCIONAL DE LOS 10.000 PARQUEADEROS, ENFOCADO EN EL AVANCE, COMODIDAD, SEGURIDAD QUE DENTRO DEL COMPLEJO SE OFRECE A TODOS LOS VISITANTES, RECALCANDO QUE EN FINADOS 2025 NOSOTROS PENSAMOS EN LAS PERSONAS Y VISITANTES.</x:v>
      </x:c>
      <x:c r="X180" s="10" t="str">
        <x:v>No</x:v>
      </x:c>
      <x:c r="Y180" s="10" t="str">
        <x:f>IF(F180&lt;&gt;"Completada","Sin cierre",IF(OR(H180="",I180=""),"Sin dato",IF(I180&lt;=H180,"A tiempo","Tarde")))</x:f>
        <x:v>A tiempo</x:v>
      </x:c>
      <x:c r="Z180" s="24" t="n">
        <x:f>IF(OR(G180="",H180=""),"",H180-G180)</x:f>
        <x:v>0.26381944444437977</x:v>
      </x:c>
    </x:row>
    <x:row r="181" ht="42" customHeight="1">
      <x:c r="A181" s="10" t="n">
        <x:v>180</x:v>
      </x:c>
      <x:c r="B181" s="10" t="n">
        <x:v>13710</x:v>
      </x:c>
      <x:c r="C181" s="10" t="str">
        <x:v>FREESTYLE RECONOCIMIENTOS</x:v>
      </x:c>
      <x:c r="D181" s="10" t="str">
        <x:v>Edwin Naula</x:v>
      </x:c>
      <x:c r="E181" s="10" t="str">
        <x:v>Edwin Naula</x:v>
      </x:c>
      <x:c r="F181" s="10" t="str">
        <x:v>Completada</x:v>
      </x:c>
      <x:c r="G181" s="23" t="n">
        <x:v>45958.747465277775</x:v>
      </x:c>
      <x:c r="H181" s="23" t="n">
        <x:v>45958.979166666664</x:v>
      </x:c>
      <x:c r="I181" s="23" t="n">
        <x:v>45958.96408564815</x:v>
      </x:c>
      <x:c r="J181" s="10" t="str">
        <x:v>Pam Villa, Stalin Flores, Isabela Orozco</x:v>
      </x:c>
      <x:c r="K181" s="10" t="str"/>
      <x:c r="L181" s="10"/>
      <x:c r="M181" s="10" t="str">
        <x:v>F26-08-TRAD</x:v>
      </x:c>
      <x:c r="N181" s="10" t="str">
        <x:v>Experiencia y cultura</x:v>
      </x:c>
      <x:c r="O181" s="10" t="str">
        <x:v>Tradición, concursos, rituales y cinco jornadas</x:v>
      </x:c>
      <x:c r="P181" s="10" t="str">
        <x:v>Convertir con control</x:v>
      </x:c>
      <x:c r="Q181" s="10" t="str">
        <x:v>Medio</x:v>
      </x:c>
      <x:c r="R181" s="10" t="str">
        <x:v>Experiencia + aprobación cultural — por asignar</x:v>
      </x:c>
      <x:c r="S181" s="10" t="str">
        <x:v>Dirección + comunidad/cultura + operación</x:v>
      </x:c>
      <x:c r="T181" s="10" t="str">
        <x:v>Expectativa y experiencia</x:v>
      </x:c>
      <x:c r="U181" s="10" t="str">
        <x:v>Validación cultural, reglas, capacidad y operación documentadas</x:v>
      </x:c>
      <x:c r="V181" s="10" t="str">
        <x:v>Validación cultural, reglas, capacidad y operación documentadas</x:v>
      </x:c>
      <x:c r="W181" s="10" t="str"/>
      <x:c r="X181" s="10" t="str">
        <x:v>No</x:v>
      </x:c>
      <x:c r="Y181" s="10" t="str">
        <x:f>IF(F181&lt;&gt;"Completada","Sin cierre",IF(OR(H181="",I181=""),"Sin dato",IF(I181&lt;=H181,"A tiempo","Tarde")))</x:f>
        <x:v>A tiempo</x:v>
      </x:c>
      <x:c r="Z181" s="24" t="n">
        <x:f>IF(OR(G181="",H181=""),"",H181-G181)</x:f>
        <x:v>0.23170138888963265</x:v>
      </x:c>
    </x:row>
    <x:row r="182" ht="42" customHeight="1">
      <x:c r="A182" s="10" t="n">
        <x:v>181</x:v>
      </x:c>
      <x:c r="B182" s="10" t="n">
        <x:v>13712</x:v>
      </x:c>
      <x:c r="C182" s="10" t="str">
        <x:v>ACTUALZIACION CHEQUES MEJOR STAND</x:v>
      </x:c>
      <x:c r="D182" s="10" t="str">
        <x:v>Edwin Naula</x:v>
      </x:c>
      <x:c r="E182" s="10" t="str">
        <x:v>Edwin Naula</x:v>
      </x:c>
      <x:c r="F182" s="10" t="str">
        <x:v>Completada</x:v>
      </x:c>
      <x:c r="G182" s="23" t="n">
        <x:v>45958.75337962963</x:v>
      </x:c>
      <x:c r="H182" s="23" t="n">
        <x:v>45958.979166666664</x:v>
      </x:c>
      <x:c r="I182" s="23" t="n">
        <x:v>45958.96457175926</x:v>
      </x:c>
      <x:c r="J182" s="10" t="str">
        <x:v>Valery Paredes, Edwin Masa Sisa (identidad por confirmar)</x:v>
      </x:c>
      <x:c r="K182" s="10" t="str"/>
      <x:c r="L182" s="10"/>
      <x:c r="M182" s="10" t="str">
        <x:v>F26-04-EXP</x:v>
      </x:c>
      <x:c r="N182" s="10" t="str">
        <x:v>Expositores y comercialización</x:v>
      </x:c>
      <x:c r="O182" s="10" t="str">
        <x:v>Stands, expositores y narrativa comercial</x:v>
      </x:c>
      <x:c r="P182" s="10" t="str">
        <x:v>Consolidar en paquete 2026</x:v>
      </x:c>
      <x:c r="Q182" s="10" t="str">
        <x:v>Medio</x:v>
      </x:c>
      <x:c r="R182" s="10" t="str">
        <x:v>Dueño de expositores — por asignar</x:v>
      </x:c>
      <x:c r="S182" s="10" t="str">
        <x:v>Dirección/comercial + operación</x:v>
      </x:c>
      <x:c r="T182" s="10" t="str">
        <x:v>Revelación y preventa</x:v>
      </x:c>
      <x:c r="U182" s="10" t="str">
        <x:v>Inventario, precios, políticas y capacidad aprobados</x:v>
      </x:c>
      <x:c r="V182" s="10" t="str">
        <x:v>Evitar microtareas ad hoc; trabajar desde un brief, plantilla, dueño y fecha de aprobación.</x:v>
      </x:c>
      <x:c r="W182" s="10" t="str"/>
      <x:c r="X182" s="10" t="str">
        <x:v>No</x:v>
      </x:c>
      <x:c r="Y182" s="10" t="str">
        <x:f>IF(F182&lt;&gt;"Completada","Sin cierre",IF(OR(H182="",I182=""),"Sin dato",IF(I182&lt;=H182,"A tiempo","Tarde")))</x:f>
        <x:v>A tiempo</x:v>
      </x:c>
      <x:c r="Z182" s="24" t="n">
        <x:f>IF(OR(G182="",H182=""),"",H182-G182)</x:f>
        <x:v>0.22578703703766223</x:v>
      </x:c>
    </x:row>
    <x:row r="183" ht="42" customHeight="1">
      <x:c r="A183" s="10" t="n">
        <x:v>182</x:v>
      </x:c>
      <x:c r="B183" s="10" t="n">
        <x:v>13720</x:v>
      </x:c>
      <x:c r="C183" s="10" t="str">
        <x:v>REEL PLAZA DEL SOL</x:v>
      </x:c>
      <x:c r="D183" s="10" t="str">
        <x:v>Pam Villa</x:v>
      </x:c>
      <x:c r="E183" s="10" t="str">
        <x:v>Pam Villa</x:v>
      </x:c>
      <x:c r="F183" s="10" t="str">
        <x:v>En progreso</x:v>
      </x:c>
      <x:c r="G183" s="23" t="n">
        <x:v>45958.90017361111</x:v>
      </x:c>
      <x:c r="H183" s="23" t="n">
        <x:v>45960.958333333336</x:v>
      </x:c>
      <x:c r="I183" s="23"/>
      <x:c r="J183" s="10" t="str">
        <x:v>Edwin Naula</x:v>
      </x:c>
      <x:c r="K183" s="10" t="str"/>
      <x:c r="L183" s="10"/>
      <x:c r="M183" s="10" t="str">
        <x:v>F26-06-CONT</x:v>
      </x:c>
      <x:c r="N183" s="10" t="str">
        <x:v>Marketing y comunicación</x:v>
      </x:c>
      <x:c r="O183" s="10" t="str">
        <x:v>Sistema editorial, redes y piezas recurrentes</x:v>
      </x:c>
      <x:c r="P183" s="10" t="str">
        <x:v>Consolidar en paquete 2026</x:v>
      </x:c>
      <x:c r="Q183" s="10" t="str">
        <x:v>Medio</x:v>
      </x:c>
      <x:c r="R183" s="10" t="str">
        <x:v>Coordinación comunicación — Andrés (apellido por confirmar)</x:v>
      </x:c>
      <x:c r="S183" s="10" t="str">
        <x:v>Dirección de marketing — Andrés Naranjo</x:v>
      </x:c>
      <x:c r="T183" s="10" t="str">
        <x:v>Expectativa y conversión</x:v>
      </x:c>
      <x:c r="U183" s="10" t="str">
        <x:v>Brief, fuente vigente, CTA verificable y QA antes de publicar</x:v>
      </x:c>
      <x:c r="V183" s="10" t="str">
        <x:v>El cierre histórico no quedó completado. Evitar microtareas ad hoc; trabajar desde un brief, plantilla, dueño y fecha de aprobación.</x:v>
      </x:c>
      <x:c r="W183" s="10" t="str"/>
      <x:c r="X183" s="10" t="str">
        <x:v>No</x:v>
      </x:c>
      <x:c r="Y183" s="10" t="str">
        <x:f>IF(F183&lt;&gt;"Completada","Sin cierre",IF(OR(H183="",I183=""),"Sin dato",IF(I183&lt;=H183,"A tiempo","Tarde")))</x:f>
        <x:v>Sin cierre</x:v>
      </x:c>
      <x:c r="Z183" s="24" t="n">
        <x:f>IF(OR(G183="",H183=""),"",H183-G183)</x:f>
        <x:v>2.0581597222262644</x:v>
      </x:c>
    </x:row>
    <x:row r="184" ht="42" customHeight="1">
      <x:c r="A184" s="10" t="n">
        <x:v>183</x:v>
      </x:c>
      <x:c r="B184" s="10" t="n">
        <x:v>13722</x:v>
      </x:c>
      <x:c r="C184" s="10" t="str">
        <x:v>REEL PLAZA DE LA LUNA</x:v>
      </x:c>
      <x:c r="D184" s="10" t="str">
        <x:v>Pam Villa</x:v>
      </x:c>
      <x:c r="E184" s="10" t="str">
        <x:v>Pam Villa</x:v>
      </x:c>
      <x:c r="F184" s="10" t="str">
        <x:v>En progreso</x:v>
      </x:c>
      <x:c r="G184" s="23" t="n">
        <x:v>45958.90146990741</x:v>
      </x:c>
      <x:c r="H184" s="23" t="n">
        <x:v>45960.958333333336</x:v>
      </x:c>
      <x:c r="I184" s="23"/>
      <x:c r="J184" s="10" t="str">
        <x:v>Edwin Naula</x:v>
      </x:c>
      <x:c r="K184" s="10" t="str"/>
      <x:c r="L184" s="10"/>
      <x:c r="M184" s="10" t="str">
        <x:v>F26-06-CONT</x:v>
      </x:c>
      <x:c r="N184" s="10" t="str">
        <x:v>Marketing y comunicación</x:v>
      </x:c>
      <x:c r="O184" s="10" t="str">
        <x:v>Sistema editorial, redes y piezas recurrentes</x:v>
      </x:c>
      <x:c r="P184" s="10" t="str">
        <x:v>Consolidar en paquete 2026</x:v>
      </x:c>
      <x:c r="Q184" s="10" t="str">
        <x:v>Medio</x:v>
      </x:c>
      <x:c r="R184" s="10" t="str">
        <x:v>Coordinación comunicación — Andrés (apellido por confirmar)</x:v>
      </x:c>
      <x:c r="S184" s="10" t="str">
        <x:v>Dirección de marketing — Andrés Naranjo</x:v>
      </x:c>
      <x:c r="T184" s="10" t="str">
        <x:v>Expectativa y conversión</x:v>
      </x:c>
      <x:c r="U184" s="10" t="str">
        <x:v>Brief, fuente vigente, CTA verificable y QA antes de publicar</x:v>
      </x:c>
      <x:c r="V184" s="10" t="str">
        <x:v>El cierre histórico no quedó completado. Evitar microtareas ad hoc; trabajar desde un brief, plantilla, dueño y fecha de aprobación.</x:v>
      </x:c>
      <x:c r="W184" s="10" t="str"/>
      <x:c r="X184" s="10" t="str">
        <x:v>No</x:v>
      </x:c>
      <x:c r="Y184" s="10" t="str">
        <x:f>IF(F184&lt;&gt;"Completada","Sin cierre",IF(OR(H184="",I184=""),"Sin dato",IF(I184&lt;=H184,"A tiempo","Tarde")))</x:f>
        <x:v>Sin cierre</x:v>
      </x:c>
      <x:c r="Z184" s="24" t="n">
        <x:f>IF(OR(G184="",H184=""),"",H184-G184)</x:f>
        <x:v>2.0568634259252576</x:v>
      </x:c>
    </x:row>
    <x:row r="185" ht="42" customHeight="1">
      <x:c r="A185" s="10" t="n">
        <x:v>184</x:v>
      </x:c>
      <x:c r="B185" s="10" t="n">
        <x:v>13724</x:v>
      </x:c>
      <x:c r="C185" s="10" t="str">
        <x:v>POST SUGERIDO PARA PROMO DE FOLADA MORADA</x:v>
      </x:c>
      <x:c r="D185" s="10" t="str">
        <x:v>Pam Villa</x:v>
      </x:c>
      <x:c r="E185" s="10" t="str">
        <x:v>Pam Villa</x:v>
      </x:c>
      <x:c r="F185" s="10" t="str">
        <x:v>En progreso</x:v>
      </x:c>
      <x:c r="G185" s="23" t="n">
        <x:v>45958.90211805556</x:v>
      </x:c>
      <x:c r="H185" s="23" t="n">
        <x:v>45961.958333333336</x:v>
      </x:c>
      <x:c r="I185" s="23"/>
      <x:c r="J185" s="10" t="str">
        <x:v>Edwin Naula</x:v>
      </x:c>
      <x:c r="K185" s="10" t="str"/>
      <x:c r="L185" s="10"/>
      <x:c r="M185" s="10" t="str">
        <x:v>F26-06-CONT</x:v>
      </x:c>
      <x:c r="N185" s="10" t="str">
        <x:v>Marketing y comunicación</x:v>
      </x:c>
      <x:c r="O185" s="10" t="str">
        <x:v>Sistema editorial, redes y piezas recurrentes</x:v>
      </x:c>
      <x:c r="P185" s="10" t="str">
        <x:v>Consolidar en paquete 2026</x:v>
      </x:c>
      <x:c r="Q185" s="10" t="str">
        <x:v>Medio</x:v>
      </x:c>
      <x:c r="R185" s="10" t="str">
        <x:v>Coordinación comunicación — Andrés (apellido por confirmar)</x:v>
      </x:c>
      <x:c r="S185" s="10" t="str">
        <x:v>Dirección de marketing — Andrés Naranjo</x:v>
      </x:c>
      <x:c r="T185" s="10" t="str">
        <x:v>Expectativa y conversión</x:v>
      </x:c>
      <x:c r="U185" s="10" t="str">
        <x:v>Brief, fuente vigente, CTA verificable y QA antes de publicar</x:v>
      </x:c>
      <x:c r="V185" s="10" t="str">
        <x:v>El cierre histórico no quedó completado. Evitar microtareas ad hoc; trabajar desde un brief, plantilla, dueño y fecha de aprobación.</x:v>
      </x:c>
      <x:c r="W185" s="10" t="str">
        <x:v>ENVÍO DE REFERENCIAS A TU WP PERSONAL</x:v>
      </x:c>
      <x:c r="X185" s="10" t="str">
        <x:v>No</x:v>
      </x:c>
      <x:c r="Y185" s="10" t="str">
        <x:f>IF(F185&lt;&gt;"Completada","Sin cierre",IF(OR(H185="",I185=""),"Sin dato",IF(I185&lt;=H185,"A tiempo","Tarde")))</x:f>
        <x:v>Sin cierre</x:v>
      </x:c>
      <x:c r="Z185" s="24" t="n">
        <x:f>IF(OR(G185="",H185=""),"",H185-G185)</x:f>
        <x:v>3.056215277778392</x:v>
      </x:c>
    </x:row>
    <x:row r="186" ht="42" customHeight="1">
      <x:c r="A186" s="10" t="n">
        <x:v>185</x:v>
      </x:c>
      <x:c r="B186" s="10" t="n">
        <x:v>13728</x:v>
      </x:c>
      <x:c r="C186" s="10" t="str">
        <x:v>DISEÑO BRAND COLADA MORADA</x:v>
      </x:c>
      <x:c r="D186" s="10" t="str">
        <x:v>Edwin Naula</x:v>
      </x:c>
      <x:c r="E186" s="10" t="str">
        <x:v>Edwin Naula</x:v>
      </x:c>
      <x:c r="F186" s="10" t="str">
        <x:v>Completada</x:v>
      </x:c>
      <x:c r="G186" s="23" t="n">
        <x:v>45959.98305555555</x:v>
      </x:c>
      <x:c r="H186" s="23" t="n">
        <x:v>45960.958333333336</x:v>
      </x:c>
      <x:c r="I186" s="23" t="n">
        <x:v>45960.606458333335</x:v>
      </x:c>
      <x:c r="J186" s="10" t="str">
        <x:v>Luis Lara, Stalin Flores</x:v>
      </x:c>
      <x:c r="K186" s="10" t="str"/>
      <x:c r="L186" s="10"/>
      <x:c r="M186" s="10" t="str">
        <x:v>F26-08-TRAD</x:v>
      </x:c>
      <x:c r="N186" s="10" t="str">
        <x:v>Experiencia y cultura</x:v>
      </x:c>
      <x:c r="O186" s="10" t="str">
        <x:v>Tradición, concursos, rituales y cinco jornadas</x:v>
      </x:c>
      <x:c r="P186" s="10" t="str">
        <x:v>Convertir con control</x:v>
      </x:c>
      <x:c r="Q186" s="10" t="str">
        <x:v>Medio</x:v>
      </x:c>
      <x:c r="R186" s="10" t="str">
        <x:v>Experiencia + aprobación cultural — por asignar</x:v>
      </x:c>
      <x:c r="S186" s="10" t="str">
        <x:v>Dirección + comunidad/cultura + operación</x:v>
      </x:c>
      <x:c r="T186" s="10" t="str">
        <x:v>Expectativa y experiencia</x:v>
      </x:c>
      <x:c r="U186" s="10" t="str">
        <x:v>Validación cultural, reglas, capacidad y operación documentadas</x:v>
      </x:c>
      <x:c r="V186" s="10" t="str">
        <x:v>Validación cultural, reglas, capacidad y operación documentadas</x:v>
      </x:c>
      <x:c r="W186" s="10" t="str">
        <x:v>diseño general para vallas del stand de la colada morada</x:v>
      </x:c>
      <x:c r="X186" s="10" t="str">
        <x:v>No</x:v>
      </x:c>
      <x:c r="Y186" s="10" t="str">
        <x:f>IF(F186&lt;&gt;"Completada","Sin cierre",IF(OR(H186="",I186=""),"Sin dato",IF(I186&lt;=H186,"A tiempo","Tarde")))</x:f>
        <x:v>A tiempo</x:v>
      </x:c>
      <x:c r="Z186" s="24" t="n">
        <x:f>IF(OR(G186="",H186=""),"",H186-G186)</x:f>
        <x:v>0.9752777777830488</x:v>
      </x:c>
    </x:row>
    <x:row r="187" ht="42" customHeight="1">
      <x:c r="A187" s="10" t="n">
        <x:v>186</x:v>
      </x:c>
      <x:c r="B187" s="10" t="n">
        <x:v>13730</x:v>
      </x:c>
      <x:c r="C187" s="10" t="str">
        <x:v>REEL PLAZA DEL SOL</x:v>
      </x:c>
      <x:c r="D187" s="10" t="str">
        <x:v>Edwin Naula</x:v>
      </x:c>
      <x:c r="E187" s="10" t="str">
        <x:v>Edwin Naula</x:v>
      </x:c>
      <x:c r="F187" s="10" t="str">
        <x:v>Pendiente</x:v>
      </x:c>
      <x:c r="G187" s="23" t="n">
        <x:v>45959.98378472222</x:v>
      </x:c>
      <x:c r="H187" s="23" t="n">
        <x:v>45960.958333333336</x:v>
      </x:c>
      <x:c r="I187" s="23"/>
      <x:c r="J187" s="10" t="str">
        <x:v>Pam Villa, Edwin Naula</x:v>
      </x:c>
      <x:c r="K187" s="10" t="str"/>
      <x:c r="L187" s="10"/>
      <x:c r="M187" s="10" t="str">
        <x:v>F26-07-SHOW</x:v>
      </x:c>
      <x:c r="N187" s="10" t="str">
        <x:v>Programación y marketing</x:v>
      </x:c>
      <x:c r="O187" s="10" t="str">
        <x:v>Shows, artistas y programación bajo embargo</x:v>
      </x:c>
      <x:c r="P187" s="10" t="str">
        <x:v>Convertir con control</x:v>
      </x:c>
      <x:c r="Q187" s="10" t="str">
        <x:v>Alto</x:v>
      </x:c>
      <x:c r="R187" s="10" t="str">
        <x:v>Programación + coordinación comunicación</x:v>
      </x:c>
      <x:c r="S187" s="10" t="str">
        <x:v>Dirección + programación + derechos</x:v>
      </x:c>
      <x:c r="T187" s="10" t="str">
        <x:v>Revelación y conversión</x:v>
      </x:c>
      <x:c r="U187" s="10" t="str">
        <x:v>Contrato, grafía, día, horario, derechos, embargo y oferta confirmados</x:v>
      </x:c>
      <x:c r="V187" s="10" t="str">
        <x:v>El cierre histórico no quedó completado. Contrato, grafía, día, horario, derechos, embargo y oferta confirmados</x:v>
      </x:c>
      <x:c r="W187" s="10" t="str">
        <x:v>Rell con belen con la aza del sol</x:v>
      </x:c>
      <x:c r="X187" s="10" t="str">
        <x:v>No</x:v>
      </x:c>
      <x:c r="Y187" s="10" t="str">
        <x:f>IF(F187&lt;&gt;"Completada","Sin cierre",IF(OR(H187="",I187=""),"Sin dato",IF(I187&lt;=H187,"A tiempo","Tarde")))</x:f>
        <x:v>Sin cierre</x:v>
      </x:c>
      <x:c r="Z187" s="24" t="n">
        <x:f>IF(OR(G187="",H187=""),"",H187-G187)</x:f>
        <x:v>0.9745486111132777</x:v>
      </x:c>
    </x:row>
    <x:row r="188" ht="42" customHeight="1">
      <x:c r="A188" s="10" t="n">
        <x:v>187</x:v>
      </x:c>
      <x:c r="B188" s="10" t="n">
        <x:v>13732</x:v>
      </x:c>
      <x:c r="C188" s="10" t="str">
        <x:v>Reel plaza de la luna</x:v>
      </x:c>
      <x:c r="D188" s="10" t="str">
        <x:v>Edwin Naula</x:v>
      </x:c>
      <x:c r="E188" s="10" t="str">
        <x:v>Edwin Naula</x:v>
      </x:c>
      <x:c r="F188" s="10" t="str">
        <x:v>Pendiente</x:v>
      </x:c>
      <x:c r="G188" s="23" t="n">
        <x:v>45959.984375</x:v>
      </x:c>
      <x:c r="H188" s="23" t="n">
        <x:v>45960.958333333336</x:v>
      </x:c>
      <x:c r="I188" s="23"/>
      <x:c r="J188" s="10" t="str">
        <x:v>Pam Villa, Edwin Naula</x:v>
      </x:c>
      <x:c r="K188" s="10" t="str"/>
      <x:c r="L188" s="10"/>
      <x:c r="M188" s="10" t="str">
        <x:v>F26-06-CONT</x:v>
      </x:c>
      <x:c r="N188" s="10" t="str">
        <x:v>Marketing y comunicación</x:v>
      </x:c>
      <x:c r="O188" s="10" t="str">
        <x:v>Sistema editorial, redes y piezas recurrentes</x:v>
      </x:c>
      <x:c r="P188" s="10" t="str">
        <x:v>Consolidar en paquete 2026</x:v>
      </x:c>
      <x:c r="Q188" s="10" t="str">
        <x:v>Medio</x:v>
      </x:c>
      <x:c r="R188" s="10" t="str">
        <x:v>Coordinación comunicación — Andrés (apellido por confirmar)</x:v>
      </x:c>
      <x:c r="S188" s="10" t="str">
        <x:v>Dirección de marketing — Andrés Naranjo</x:v>
      </x:c>
      <x:c r="T188" s="10" t="str">
        <x:v>Expectativa y conversión</x:v>
      </x:c>
      <x:c r="U188" s="10" t="str">
        <x:v>Brief, fuente vigente, CTA verificable y QA antes de publicar</x:v>
      </x:c>
      <x:c r="V188" s="10" t="str">
        <x:v>El cierre histórico no quedó completado. Evitar microtareas ad hoc; trabajar desde un brief, plantilla, dueño y fecha de aprobación.</x:v>
      </x:c>
      <x:c r="W188" s="10" t="str">
        <x:v>Rell con steffy con la plaza de la luna</x:v>
      </x:c>
      <x:c r="X188" s="10" t="str">
        <x:v>No</x:v>
      </x:c>
      <x:c r="Y188" s="10" t="str">
        <x:f>IF(F188&lt;&gt;"Completada","Sin cierre",IF(OR(H188="",I188=""),"Sin dato",IF(I188&lt;=H188,"A tiempo","Tarde")))</x:f>
        <x:v>Sin cierre</x:v>
      </x:c>
      <x:c r="Z188" s="24" t="n">
        <x:f>IF(OR(G188="",H188=""),"",H188-G188)</x:f>
        <x:v>0.9739583333357587</x:v>
      </x:c>
    </x:row>
    <x:row r="189" ht="42" customHeight="1">
      <x:c r="A189" s="10" t="n">
        <x:v>188</x:v>
      </x:c>
      <x:c r="B189" s="10" t="n">
        <x:v>13734</x:v>
      </x:c>
      <x:c r="C189" s="10" t="str">
        <x:v>POST: CAMBIO DE PORTADAS POR DÍA CON PROGRAMACIÓN</x:v>
      </x:c>
      <x:c r="D189" s="10" t="str">
        <x:v>Stalin Flores</x:v>
      </x:c>
      <x:c r="E189" s="10" t="str">
        <x:v>Pam Villa</x:v>
      </x:c>
      <x:c r="F189" s="10" t="str">
        <x:v>Pendiente</x:v>
      </x:c>
      <x:c r="G189" s="23" t="n">
        <x:v>45960.54844907407</x:v>
      </x:c>
      <x:c r="H189" s="23" t="n">
        <x:v>45961.958333333336</x:v>
      </x:c>
      <x:c r="I189" s="23"/>
      <x:c r="J189" s="10" t="str">
        <x:v>Stalin Flores</x:v>
      </x:c>
      <x:c r="K189" s="10" t="str"/>
      <x:c r="L189" s="10"/>
      <x:c r="M189" s="10" t="str">
        <x:v>F26-16-LIVE</x:v>
      </x:c>
      <x:c r="N189" s="10" t="str">
        <x:v>Comando en vivo</x:v>
      </x:c>
      <x:c r="O189" s="10" t="str">
        <x:v>Cobertura diaria, servicio y cambios de programación</x:v>
      </x:c>
      <x:c r="P189" s="10" t="str">
        <x:v>Convertir con control</x:v>
      </x:c>
      <x:c r="Q189" s="10" t="str">
        <x:v>Medio</x:v>
      </x:c>
      <x:c r="R189" s="10" t="str">
        <x:v>Coordinación comunicación + community manager — vacante</x:v>
      </x:c>
      <x:c r="S189" s="10" t="str">
        <x:v>Coordinación general + operación</x:v>
      </x:c>
      <x:c r="T189" s="10" t="str">
        <x:v>29 de octubre–2 de noviembre</x:v>
      </x:c>
      <x:c r="U189" s="10" t="str">
        <x:v>Turnos, escalamiento, plantillas, conectividad y fuente operativa en vivo</x:v>
      </x:c>
      <x:c r="V189" s="10" t="str">
        <x:v>El cierre histórico no quedó completado. Turnos, escalamiento, plantillas, conectividad y fuente operativa en vivo</x:v>
      </x:c>
      <x:c r="W189" s="10" t="str">
        <x:v>PORTADA DÍA UNO: 31 DE OCTUBRE Y ASÍ HASTA EL DÍA ÚLTIMO DE FERIA</x:v>
      </x:c>
      <x:c r="X189" s="10" t="str">
        <x:v>No</x:v>
      </x:c>
      <x:c r="Y189" s="10" t="str">
        <x:f>IF(F189&lt;&gt;"Completada","Sin cierre",IF(OR(H189="",I189=""),"Sin dato",IF(I189&lt;=H189,"A tiempo","Tarde")))</x:f>
        <x:v>Sin cierre</x:v>
      </x:c>
      <x:c r="Z189" s="24" t="n">
        <x:f>IF(OR(G189="",H189=""),"",H189-G189)</x:f>
        <x:v>1.4098842592647998</x:v>
      </x:c>
    </x:row>
  </x:sheetData>
  <x:conditionalFormatting sqref="Q2:Q189">
    <x:cfRule type="containsText" dxfId="0" priority="1" operator="containsText" text="Alto"/>
  </x:conditionalFormatting>
  <x:conditionalFormatting sqref="Y2:Y189">
    <x:cfRule type="containsText" dxfId="1" priority="2" operator="containsText" text="Tarde"/>
    <x:cfRule type="containsText" dxfId="2" priority="3" operator="containsText" text="A tiempo"/>
  </x:conditionalFormatting>
  <x:conditionalFormatting sqref="F2:F189">
    <x:cfRule type="containsText" dxfId="3" priority="4" operator="containsText" text="Pendiente"/>
  </x:conditionalFormatting>
  <x:dataValidations count="2">
    <x:dataValidation type="list" sqref="P2:P189">
      <x:formula1>'06_Catalogos'!$D$2:$D$5</x:formula1>
    </x:dataValidation>
    <x:dataValidation type="list" sqref="Q2:Q189">
      <x:formula1>'06_Catalogos'!$E$2:$E$4</x:formula1>
    </x:dataValidation>
  </x:dataValidations>
  <x:pageMargins left="0.7" right="0.7" top="0.75" bottom="0.75" header="0.3" footer="0.3"/>
  <x:tableParts count="1">
    <x:tablePart xmlns:r="http://schemas.openxmlformats.org/officeDocument/2006/relationships" r:id="R7d4a0bd7b3e54ac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14" hidden="0" customWidth="1"/>
    <x:col min="3" max="3" width="26" hidden="0" customWidth="1"/>
    <x:col min="4" max="4" width="13" hidden="0" customWidth="1"/>
    <x:col min="5" max="5" width="13" hidden="0" customWidth="1"/>
    <x:col min="6" max="6" width="12" hidden="0" customWidth="1"/>
    <x:col min="7" max="7" width="20" hidden="0" customWidth="1"/>
    <x:col min="8" max="8" width="58" hidden="0" customWidth="1"/>
    <x:col min="9" max="9" width="36" hidden="0" customWidth="1"/>
    <x:col min="10" max="10" width="36" hidden="0" customWidth="1"/>
    <x:col min="11" max="11" width="36" hidden="0" customWidth="1"/>
    <x:col min="12" max="12" width="55" hidden="0" customWidth="1"/>
    <x:col min="13" max="13" width="55" hidden="0" customWidth="1"/>
    <x:col min="14" max="14" width="18" hidden="0" customWidth="1"/>
    <x:col min="15" max="15" width="18" hidden="0" customWidth="1"/>
    <x:col min="16" max="16" width="42" hidden="0" customWidth="1"/>
  </x:cols>
  <x:sheetData>
    <x:row r="1" ht="34" customHeight="1">
      <x:c r="A1" s="6" t="str">
        <x:v>ID</x:v>
      </x:c>
      <x:c r="B1" s="6" t="str">
        <x:v>Paquete ID</x:v>
      </x:c>
      <x:c r="C1" s="6" t="str">
        <x:v>Fase</x:v>
      </x:c>
      <x:c r="D1" s="6" t="str">
        <x:v>Inicio</x:v>
      </x:c>
      <x:c r="E1" s="6" t="str">
        <x:v>Fin</x:v>
      </x:c>
      <x:c r="F1" s="6" t="str">
        <x:v>Prioridad</x:v>
      </x:c>
      <x:c r="G1" s="6" t="str">
        <x:v>Estado</x:v>
      </x:c>
      <x:c r="H1" s="6" t="str">
        <x:v>Tarea/entregable</x:v>
      </x:c>
      <x:c r="I1" s="6" t="str">
        <x:v>Responsable</x:v>
      </x:c>
      <x:c r="J1" s="6" t="str">
        <x:v>Apoyo</x:v>
      </x:c>
      <x:c r="K1" s="6" t="str">
        <x:v>Aprobador</x:v>
      </x:c>
      <x:c r="L1" s="6" t="str">
        <x:v>Dependencia o gate</x:v>
      </x:c>
      <x:c r="M1" s="6" t="str">
        <x:v>Evidencia de cierre</x:v>
      </x:c>
      <x:c r="N1" s="6" t="str">
        <x:v>Tareas históricas mapeadas</x:v>
      </x:c>
      <x:c r="O1" s="6" t="str">
        <x:v>Duración días</x:v>
      </x:c>
      <x:c r="P1" s="6" t="str">
        <x:v>Nota</x:v>
      </x:c>
    </x:row>
    <x:row r="2" ht="46" customHeight="1">
      <x:c r="A2" s="10" t="str">
        <x:v>GOB-00</x:v>
      </x:c>
      <x:c r="B2" s="10" t="str">
        <x:v>F26-01-GOB</x:v>
      </x:c>
      <x:c r="C2" s="10" t="str">
        <x:v>Preparación interna</x:v>
      </x:c>
      <x:c r="D2" s="25" t="n">
        <x:v>46260</x:v>
      </x:c>
      <x:c r="E2" s="25" t="n">
        <x:v>46260</x:v>
      </x:c>
      <x:c r="F2" s="10" t="str">
        <x:v>Crítica</x:v>
      </x:c>
      <x:c r="G2" s="10" t="str">
        <x:v>Completada</x:v>
      </x:c>
      <x:c r="H2" s="10" t="str">
        <x:v>Convertir las 188 tareas históricas en inventario trazable y paquetes 2026</x:v>
      </x:c>
      <x:c r="I2" s="10" t="str">
        <x:v>Coordinación general de marketing</x:v>
      </x:c>
      <x:c r="J2" s="10" t="str">
        <x:v>Analítica/tracking</x:v>
      </x:c>
      <x:c r="K2" s="10" t="str">
        <x:v>Dirección de marketing</x:v>
      </x:c>
      <x:c r="L2" s="10" t="str">
        <x:v>Archivo Bitrix recibido y sanitizado</x:v>
      </x:c>
      <x:c r="M2" s="10" t="str">
        <x:v>Matriz aprobada y vinculada al vault</x:v>
      </x:c>
      <x:c r="N2" s="26" t="n">
        <x:f>COUNTIF('03_Inventario_2025'!$M$2:$M$189,B2)</x:f>
        <x:v>8</x:v>
      </x:c>
      <x:c r="O2" s="26" t="n">
        <x:f>IF(OR(D2="",E2=""),"",E2-D2+1)</x:f>
        <x:v>1</x:v>
      </x:c>
      <x:c r="P2" s="10" t="str"/>
    </x:row>
    <x:row r="3" ht="46" customHeight="1">
      <x:c r="A3" s="10" t="str">
        <x:v>GOB-01</x:v>
      </x:c>
      <x:c r="B3" s="10" t="str">
        <x:v>F26-01-GOB</x:v>
      </x:c>
      <x:c r="C3" s="10" t="str">
        <x:v>Preparación interna</x:v>
      </x:c>
      <x:c r="D3" s="25" t="n">
        <x:v>46260</x:v>
      </x:c>
      <x:c r="E3" s="25" t="n">
        <x:v>46261</x:v>
      </x:c>
      <x:c r="F3" s="10" t="str">
        <x:v>Crítica</x:v>
      </x:c>
      <x:c r="G3" s="10" t="str">
        <x:v>Pendiente</x:v>
      </x:c>
      <x:c r="H3" s="10" t="str">
        <x:v>Ratificar las fechas públicas, horarios y definición de las cinco jornadas</x:v>
      </x:c>
      <x:c r="I3" s="10" t="str">
        <x:v>Coordinación general de marketing</x:v>
      </x:c>
      <x:c r="J3" s="10" t="str">
        <x:v>Programación, operación, entradas</x:v>
      </x:c>
      <x:c r="K3" s="10" t="str">
        <x:v>Dirección general</x:v>
      </x:c>
      <x:c r="L3" s="10" t="str">
        <x:v>Resolución de dirección</x:v>
      </x:c>
      <x:c r="M3" s="10" t="str">
        <x:v>Acta y fuente única actualizadas</x:v>
      </x:c>
      <x:c r="N3" s="26" t="n">
        <x:f>COUNTIF('03_Inventario_2025'!$M$2:$M$189,B3)</x:f>
        <x:v>8</x:v>
      </x:c>
      <x:c r="O3" s="26" t="n">
        <x:f>IF(OR(D3="",E3=""),"",E3-D3+1)</x:f>
        <x:v>2</x:v>
      </x:c>
      <x:c r="P3" s="10" t="str"/>
    </x:row>
    <x:row r="4" ht="46" customHeight="1">
      <x:c r="A4" s="10" t="str">
        <x:v>GOB-02</x:v>
      </x:c>
      <x:c r="B4" s="10" t="str">
        <x:v>F26-01-GOB</x:v>
      </x:c>
      <x:c r="C4" s="10" t="str">
        <x:v>Preparación interna</x:v>
      </x:c>
      <x:c r="D4" s="25" t="n">
        <x:v>46260</x:v>
      </x:c>
      <x:c r="E4" s="25" t="n">
        <x:v>46262</x:v>
      </x:c>
      <x:c r="F4" s="10" t="str">
        <x:v>Crítica</x:v>
      </x:c>
      <x:c r="G4" s="10" t="str">
        <x:v>Pendiente</x:v>
      </x:c>
      <x:c r="H4" s="10" t="str">
        <x:v>Ratificar RACI, capacidad semanal y suplente de cada rol</x:v>
      </x:c>
      <x:c r="I4" s="10" t="str">
        <x:v>Coordinación general de marketing</x:v>
      </x:c>
      <x:c r="J4" s="10" t="str">
        <x:v>Todos los dueños de frente</x:v>
      </x:c>
      <x:c r="K4" s="10" t="str">
        <x:v>Dirección de marketing</x:v>
      </x:c>
      <x:c r="L4" s="10" t="str">
        <x:v>Disponibilidad real del equipo</x:v>
      </x:c>
      <x:c r="M4" s="10" t="str">
        <x:v>RACI firmado; ninguna tarea crítica sin suplente</x:v>
      </x:c>
      <x:c r="N4" s="26" t="n">
        <x:f>COUNTIF('03_Inventario_2025'!$M$2:$M$189,B4)</x:f>
        <x:v>8</x:v>
      </x:c>
      <x:c r="O4" s="26" t="n">
        <x:f>IF(OR(D4="",E4=""),"",E4-D4+1)</x:f>
        <x:v>3</x:v>
      </x:c>
      <x:c r="P4" s="10" t="str"/>
    </x:row>
    <x:row r="5" ht="46" customHeight="1">
      <x:c r="A5" s="10" t="str">
        <x:v>GOB-03</x:v>
      </x:c>
      <x:c r="B5" s="10" t="str">
        <x:v>F26-01-GOB</x:v>
      </x:c>
      <x:c r="C5" s="10" t="str">
        <x:v>Preparación interna</x:v>
      </x:c>
      <x:c r="D5" s="25" t="n">
        <x:v>46261</x:v>
      </x:c>
      <x:c r="E5" s="25" t="n">
        <x:v>46262</x:v>
      </x:c>
      <x:c r="F5" s="10" t="str">
        <x:v>Alta</x:v>
      </x:c>
      <x:c r="G5" s="10" t="str">
        <x:v>Pendiente</x:v>
      </x:c>
      <x:c r="H5" s="10" t="str">
        <x:v>Definir fuente única, flujo de brief, revisión y aprobación con SLA</x:v>
      </x:c>
      <x:c r="I5" s="10" t="str">
        <x:v>Coordinación general de marketing</x:v>
      </x:c>
      <x:c r="J5" s="10" t="str">
        <x:v>Diseño, comunicación, producción</x:v>
      </x:c>
      <x:c r="K5" s="10" t="str">
        <x:v>Dirección de marketing</x:v>
      </x:c>
      <x:c r="L5" s="10" t="str">
        <x:v>RACI ratificado</x:v>
      </x:c>
      <x:c r="M5" s="10" t="str">
        <x:v>Flujo publicado en Bitrix y prueba con una pieza</x:v>
      </x:c>
      <x:c r="N5" s="26" t="n">
        <x:f>COUNTIF('03_Inventario_2025'!$M$2:$M$189,B5)</x:f>
        <x:v>8</x:v>
      </x:c>
      <x:c r="O5" s="26" t="n">
        <x:f>IF(OR(D5="",E5=""),"",E5-D5+1)</x:f>
        <x:v>2</x:v>
      </x:c>
      <x:c r="P5" s="10" t="str"/>
    </x:row>
    <x:row r="6" ht="46" customHeight="1">
      <x:c r="A6" s="10" t="str">
        <x:v>GOB-04</x:v>
      </x:c>
      <x:c r="B6" s="10" t="str">
        <x:v>F26-01-GOB</x:v>
      </x:c>
      <x:c r="C6" s="10" t="str">
        <x:v>Preparación interna</x:v>
      </x:c>
      <x:c r="D6" s="25" t="n">
        <x:v>46262</x:v>
      </x:c>
      <x:c r="E6" s="25" t="n">
        <x:v>46267</x:v>
      </x:c>
      <x:c r="F6" s="10" t="str">
        <x:v>Alta</x:v>
      </x:c>
      <x:c r="G6" s="10" t="str">
        <x:v>Pendiente</x:v>
      </x:c>
      <x:c r="H6" s="10" t="str">
        <x:v>Configurar tablero Bitrix 2026 por paquete, fase, responsable, gate y evidencia</x:v>
      </x:c>
      <x:c r="I6" s="10" t="str">
        <x:v>Coordinación general de marketing</x:v>
      </x:c>
      <x:c r="J6" s="10" t="str">
        <x:v>Analítica/tracking</x:v>
      </x:c>
      <x:c r="K6" s="10" t="str">
        <x:v>Dirección de marketing</x:v>
      </x:c>
      <x:c r="L6" s="10" t="str">
        <x:v>Matriz operativa aprobada</x:v>
      </x:c>
      <x:c r="M6" s="10" t="str">
        <x:v>Tablero activo con vistas de carga, atrasos y bloqueos</x:v>
      </x:c>
      <x:c r="N6" s="26" t="n">
        <x:f>COUNTIF('03_Inventario_2025'!$M$2:$M$189,B6)</x:f>
        <x:v>8</x:v>
      </x:c>
      <x:c r="O6" s="26" t="n">
        <x:f>IF(OR(D6="",E6=""),"",E6-D6+1)</x:f>
        <x:v>6</x:v>
      </x:c>
      <x:c r="P6" s="10" t="str"/>
    </x:row>
    <x:row r="7" ht="46" customHeight="1">
      <x:c r="A7" s="10" t="str">
        <x:v>MAR-01</x:v>
      </x:c>
      <x:c r="B7" s="10" t="str">
        <x:v>F26-02-MARCA</x:v>
      </x:c>
      <x:c r="C7" s="10" t="str">
        <x:v>Preparación interna</x:v>
      </x:c>
      <x:c r="D7" s="25" t="n">
        <x:v>46260</x:v>
      </x:c>
      <x:c r="E7" s="25" t="n">
        <x:v>46262</x:v>
      </x:c>
      <x:c r="F7" s="10" t="str">
        <x:v>Crítica</x:v>
      </x:c>
      <x:c r="G7" s="10" t="str">
        <x:v>En revisión</x:v>
      </x:c>
      <x:c r="H7" s="10" t="str">
        <x:v>Aprobar o corregir la plataforma emocional ES TRADICIÓN</x:v>
      </x:c>
      <x:c r="I7" s="10" t="str">
        <x:v>Dirección de marketing</x:v>
      </x:c>
      <x:c r="J7" s="10" t="str">
        <x:v>Coordinación creativa + aprobación cultural</x:v>
      </x:c>
      <x:c r="K7" s="10" t="str">
        <x:v>Dirección general</x:v>
      </x:c>
      <x:c r="L7" s="10" t="str">
        <x:v>Validación cultural y operativa</x:v>
      </x:c>
      <x:c r="M7" s="10" t="str">
        <x:v>Decisión registrada con usos y límites</x:v>
      </x:c>
      <x:c r="N7" s="26" t="n">
        <x:f>COUNTIF('03_Inventario_2025'!$M$2:$M$189,B7)</x:f>
        <x:v>9</x:v>
      </x:c>
      <x:c r="O7" s="26" t="n">
        <x:f>IF(OR(D7="",E7=""),"",E7-D7+1)</x:f>
        <x:v>3</x:v>
      </x:c>
      <x:c r="P7" s="10" t="str"/>
    </x:row>
    <x:row r="8" ht="46" customHeight="1">
      <x:c r="A8" s="10" t="str">
        <x:v>MAR-02</x:v>
      </x:c>
      <x:c r="B8" s="10" t="str">
        <x:v>F26-02-MARCA</x:v>
      </x:c>
      <x:c r="C8" s="10" t="str">
        <x:v>Preparación interna</x:v>
      </x:c>
      <x:c r="D8" s="25" t="n">
        <x:v>46260</x:v>
      </x:c>
      <x:c r="E8" s="25" t="n">
        <x:v>46266</x:v>
      </x:c>
      <x:c r="F8" s="10" t="str">
        <x:v>Crítica</x:v>
      </x:c>
      <x:c r="G8" s="10" t="str">
        <x:v>En curso</x:v>
      </x:c>
      <x:c r="H8" s="10" t="str">
        <x:v>Refactorizar key visual colorido, teatral y ferial sin logos ni cartel</x:v>
      </x:c>
      <x:c r="I8" s="10" t="str">
        <x:v>Coordinación diseño/audiovisual</x:v>
      </x:c>
      <x:c r="J8" s="10" t="str">
        <x:v>Equipo de diseño gráfico</x:v>
      </x:c>
      <x:c r="K8" s="10" t="str">
        <x:v>Dirección de marketing + aprobación cultural</x:v>
      </x:c>
      <x:c r="L8" s="10" t="str">
        <x:v>MAR-01</x:v>
      </x:c>
      <x:c r="M8" s="10" t="str">
        <x:v>Key visual editable aprobado en formatos maestros</x:v>
      </x:c>
      <x:c r="N8" s="26" t="n">
        <x:f>COUNTIF('03_Inventario_2025'!$M$2:$M$189,B8)</x:f>
        <x:v>9</x:v>
      </x:c>
      <x:c r="O8" s="26" t="n">
        <x:f>IF(OR(D8="",E8=""),"",E8-D8+1)</x:f>
        <x:v>7</x:v>
      </x:c>
      <x:c r="P8" s="10" t="str"/>
    </x:row>
    <x:row r="9" ht="46" customHeight="1">
      <x:c r="A9" s="10" t="str">
        <x:v>MAR-03</x:v>
      </x:c>
      <x:c r="B9" s="10" t="str">
        <x:v>F26-02-MARCA</x:v>
      </x:c>
      <x:c r="C9" s="10" t="str">
        <x:v>Preparación interna</x:v>
      </x:c>
      <x:c r="D9" s="25" t="n">
        <x:v>46263</x:v>
      </x:c>
      <x:c r="E9" s="25" t="n">
        <x:v>46267</x:v>
      </x:c>
      <x:c r="F9" s="10" t="str">
        <x:v>Alta</x:v>
      </x:c>
      <x:c r="G9" s="10" t="str">
        <x:v>Pendiente</x:v>
      </x:c>
      <x:c r="H9" s="10" t="str">
        <x:v>Crear kit maestro 4:5, 9:16, 16:9, prensa, valla, pantalla y señalética</x:v>
      </x:c>
      <x:c r="I9" s="10" t="str">
        <x:v>Coordinación diseño/audiovisual</x:v>
      </x:c>
      <x:c r="J9" s="10" t="str">
        <x:v>Equipo de diseño gráfico</x:v>
      </x:c>
      <x:c r="K9" s="10" t="str">
        <x:v>Dirección de marketing</x:v>
      </x:c>
      <x:c r="L9" s="10" t="str">
        <x:v>MAR-02</x:v>
      </x:c>
      <x:c r="M9" s="10" t="str">
        <x:v>Plantillas editables, zona segura y guía de uso</x:v>
      </x:c>
      <x:c r="N9" s="26" t="n">
        <x:f>COUNTIF('03_Inventario_2025'!$M$2:$M$189,B9)</x:f>
        <x:v>9</x:v>
      </x:c>
      <x:c r="O9" s="26" t="n">
        <x:f>IF(OR(D9="",E9=""),"",E9-D9+1)</x:f>
        <x:v>5</x:v>
      </x:c>
      <x:c r="P9" s="10" t="str"/>
    </x:row>
    <x:row r="10" ht="46" customHeight="1">
      <x:c r="A10" s="10" t="str">
        <x:v>MAR-04</x:v>
      </x:c>
      <x:c r="B10" s="10" t="str">
        <x:v>F26-02-MARCA</x:v>
      </x:c>
      <x:c r="C10" s="10" t="str">
        <x:v>Expectativa</x:v>
      </x:c>
      <x:c r="D10" s="25" t="n">
        <x:v>46266</x:v>
      </x:c>
      <x:c r="E10" s="25" t="n">
        <x:v>46268</x:v>
      </x:c>
      <x:c r="F10" s="10" t="str">
        <x:v>Alta</x:v>
      </x:c>
      <x:c r="G10" s="10" t="str">
        <x:v>Pendiente</x:v>
      </x:c>
      <x:c r="H10" s="10" t="str">
        <x:v>Definir sistema de fotografía, color, tipografía, movimiento y sonido</x:v>
      </x:c>
      <x:c r="I10" s="10" t="str">
        <x:v>Coordinación diseño/audiovisual</x:v>
      </x:c>
      <x:c r="J10" s="10" t="str">
        <x:v>Audiovisual + diseño</x:v>
      </x:c>
      <x:c r="K10" s="10" t="str">
        <x:v>Dirección de marketing + aprobación cultural</x:v>
      </x:c>
      <x:c r="L10" s="10" t="str">
        <x:v>MAR-02</x:v>
      </x:c>
      <x:c r="M10" s="10" t="str">
        <x:v>Página de dirección creativa con ejemplos aceptados/rechazados</x:v>
      </x:c>
      <x:c r="N10" s="26" t="n">
        <x:f>COUNTIF('03_Inventario_2025'!$M$2:$M$189,B10)</x:f>
        <x:v>9</x:v>
      </x:c>
      <x:c r="O10" s="26" t="n">
        <x:f>IF(OR(D10="",E10=""),"",E10-D10+1)</x:f>
        <x:v>3</x:v>
      </x:c>
      <x:c r="P10" s="10" t="str"/>
    </x:row>
    <x:row r="11" ht="46" customHeight="1">
      <x:c r="A11" s="10" t="str">
        <x:v>PAT-01</x:v>
      </x:c>
      <x:c r="B11" s="10" t="str">
        <x:v>F26-03-PAT</x:v>
      </x:c>
      <x:c r="C11" s="10" t="str">
        <x:v>Preparación interna</x:v>
      </x:c>
      <x:c r="D11" s="25" t="n">
        <x:v>46261</x:v>
      </x:c>
      <x:c r="E11" s="25" t="n">
        <x:v>46269</x:v>
      </x:c>
      <x:c r="F11" s="10" t="str">
        <x:v>Crítica</x:v>
      </x:c>
      <x:c r="G11" s="10" t="str">
        <x:v>Pendiente</x:v>
      </x:c>
      <x:c r="H11" s="10" t="str">
        <x:v>Conciliar master de auspiciantes, contratos, beneficios, logos y formatos</x:v>
      </x:c>
      <x:c r="I11" s="10" t="str">
        <x:v>Dueño de patrocinadores — por asignar</x:v>
      </x:c>
      <x:c r="J11" s="10" t="str">
        <x:v>Diseño + finanzas/comercial</x:v>
      </x:c>
      <x:c r="K11" s="10" t="str">
        <x:v>Dirección + finanzas</x:v>
      </x:c>
      <x:c r="L11" s="10" t="str">
        <x:v>Contratos y autorizaciones vigentes</x:v>
      </x:c>
      <x:c r="M11" s="10" t="str">
        <x:v>Master versionado con fecha de corte y aprobación</x:v>
      </x:c>
      <x:c r="N11" s="26" t="n">
        <x:f>COUNTIF('03_Inventario_2025'!$M$2:$M$189,B11)</x:f>
        <x:v>15</x:v>
      </x:c>
      <x:c r="O11" s="26" t="n">
        <x:f>IF(OR(D11="",E11=""),"",E11-D11+1)</x:f>
        <x:v>9</x:v>
      </x:c>
      <x:c r="P11" s="10" t="str"/>
    </x:row>
    <x:row r="12" ht="46" customHeight="1">
      <x:c r="A12" s="10" t="str">
        <x:v>PAT-02</x:v>
      </x:c>
      <x:c r="B12" s="10" t="str">
        <x:v>F26-03-PAT</x:v>
      </x:c>
      <x:c r="C12" s="10" t="str">
        <x:v>Revelación y preventa</x:v>
      </x:c>
      <x:c r="D12" s="25" t="n">
        <x:v>46272</x:v>
      </x:c>
      <x:c r="E12" s="25" t="n">
        <x:v>46276</x:v>
      </x:c>
      <x:c r="F12" s="10" t="str">
        <x:v>Alta</x:v>
      </x:c>
      <x:c r="G12" s="10" t="str">
        <x:v>Pendiente</x:v>
      </x:c>
      <x:c r="H12" s="10" t="str">
        <x:v>Entregar kit compartible para auspiciantes con mensajes y piezas aprobadas</x:v>
      </x:c>
      <x:c r="I12" s="10" t="str">
        <x:v>Dueño de patrocinadores</x:v>
      </x:c>
      <x:c r="J12" s="10" t="str">
        <x:v>Comunicación + diseño</x:v>
      </x:c>
      <x:c r="K12" s="10" t="str">
        <x:v>Dirección de marketing</x:v>
      </x:c>
      <x:c r="L12" s="10" t="str">
        <x:v>PAT-01 + MAR-03</x:v>
      </x:c>
      <x:c r="M12" s="10" t="str">
        <x:v>Kit entregado y recepción confirmada</x:v>
      </x:c>
      <x:c r="N12" s="26" t="n">
        <x:f>COUNTIF('03_Inventario_2025'!$M$2:$M$189,B12)</x:f>
        <x:v>15</x:v>
      </x:c>
      <x:c r="O12" s="26" t="n">
        <x:f>IF(OR(D12="",E12=""),"",E12-D12+1)</x:f>
        <x:v>5</x:v>
      </x:c>
      <x:c r="P12" s="10" t="str"/>
    </x:row>
    <x:row r="13" ht="46" customHeight="1">
      <x:c r="A13" s="10" t="str">
        <x:v>PAT-03</x:v>
      </x:c>
      <x:c r="B13" s="10" t="str">
        <x:v>F26-03-PAT</x:v>
      </x:c>
      <x:c r="C13" s="10" t="str">
        <x:v>Conversión</x:v>
      </x:c>
      <x:c r="D13" s="25" t="n">
        <x:v>46300</x:v>
      </x:c>
      <x:c r="E13" s="25" t="n">
        <x:v>46328</x:v>
      </x:c>
      <x:c r="F13" s="10" t="str">
        <x:v>Alta</x:v>
      </x:c>
      <x:c r="G13" s="10" t="str">
        <x:v>Pendiente</x:v>
      </x:c>
      <x:c r="H13" s="10" t="str">
        <x:v>Programar presencia digital y física de auspiciantes y recopilar pruebas</x:v>
      </x:c>
      <x:c r="I13" s="10" t="str">
        <x:v>Dueño de patrocinadores</x:v>
      </x:c>
      <x:c r="J13" s="10" t="str">
        <x:v>Producción + comunicación</x:v>
      </x:c>
      <x:c r="K13" s="10" t="str">
        <x:v>Coordinación general</x:v>
      </x:c>
      <x:c r="L13" s="10" t="str">
        <x:v>Inventario de beneficios y programación</x:v>
      </x:c>
      <x:c r="M13" s="10" t="str">
        <x:v>Log de publicaciones, pantallas, activaciones y fotografías</x:v>
      </x:c>
      <x:c r="N13" s="26" t="n">
        <x:f>COUNTIF('03_Inventario_2025'!$M$2:$M$189,B13)</x:f>
        <x:v>15</x:v>
      </x:c>
      <x:c r="O13" s="26" t="n">
        <x:f>IF(OR(D13="",E13=""),"",E13-D13+1)</x:f>
        <x:v>29</x:v>
      </x:c>
      <x:c r="P13" s="10" t="str"/>
    </x:row>
    <x:row r="14" ht="46" customHeight="1">
      <x:c r="A14" s="10" t="str">
        <x:v>EXP-01</x:v>
      </x:c>
      <x:c r="B14" s="10" t="str">
        <x:v>F26-04-EXP</x:v>
      </x:c>
      <x:c r="C14" s="10" t="str">
        <x:v>Preparación interna</x:v>
      </x:c>
      <x:c r="D14" s="25" t="n">
        <x:v>46261</x:v>
      </x:c>
      <x:c r="E14" s="25" t="n">
        <x:v>46269</x:v>
      </x:c>
      <x:c r="F14" s="10" t="str">
        <x:v>Crítica</x:v>
      </x:c>
      <x:c r="G14" s="10" t="str">
        <x:v>Pendiente</x:v>
      </x:c>
      <x:c r="H14" s="10" t="str">
        <x:v>Confirmar inventario, tarifas, categorías, políticas y meta de ocupación de stands</x:v>
      </x:c>
      <x:c r="I14" s="10" t="str">
        <x:v>Dueño de expositores — por asignar</x:v>
      </x:c>
      <x:c r="J14" s="10" t="str">
        <x:v>Comercial + operación</x:v>
      </x:c>
      <x:c r="K14" s="10" t="str">
        <x:v>Dirección/comercial</x:v>
      </x:c>
      <x:c r="L14" s="10" t="str">
        <x:v>Plano y capacidad aprobados</x:v>
      </x:c>
      <x:c r="M14" s="10" t="str">
        <x:v>Oferta comercial única y stock conciliado</x:v>
      </x:c>
      <x:c r="N14" s="26" t="n">
        <x:f>COUNTIF('03_Inventario_2025'!$M$2:$M$189,B14)</x:f>
        <x:v>9</x:v>
      </x:c>
      <x:c r="O14" s="26" t="n">
        <x:f>IF(OR(D14="",E14=""),"",E14-D14+1)</x:f>
        <x:v>9</x:v>
      </x:c>
      <x:c r="P14" s="10" t="str"/>
    </x:row>
    <x:row r="15" ht="46" customHeight="1">
      <x:c r="A15" s="10" t="str">
        <x:v>EXP-02</x:v>
      </x:c>
      <x:c r="B15" s="10" t="str">
        <x:v>F26-04-EXP</x:v>
      </x:c>
      <x:c r="C15" s="10" t="str">
        <x:v>Expectativa</x:v>
      </x:c>
      <x:c r="D15" s="25" t="n">
        <x:v>46268</x:v>
      </x:c>
      <x:c r="E15" s="25" t="n">
        <x:v>46281</x:v>
      </x:c>
      <x:c r="F15" s="10" t="str">
        <x:v>Alta</x:v>
      </x:c>
      <x:c r="G15" s="10" t="str">
        <x:v>Pendiente</x:v>
      </x:c>
      <x:c r="H15" s="10" t="str">
        <x:v>Producir historias de feria real: artesanos, productores, gastronomía y comercio</x:v>
      </x:c>
      <x:c r="I15" s="10" t="str">
        <x:v>Coordinación comunicación</x:v>
      </x:c>
      <x:c r="J15" s="10" t="str">
        <x:v>Expositores + audiovisual</x:v>
      </x:c>
      <x:c r="K15" s="10" t="str">
        <x:v>Dirección de marketing + aprobación cultural</x:v>
      </x:c>
      <x:c r="L15" s="10" t="str">
        <x:v>Derechos y casos confirmados</x:v>
      </x:c>
      <x:c r="M15" s="10" t="str">
        <x:v>Banco de historias y piezas con CTA verificable</x:v>
      </x:c>
      <x:c r="N15" s="26" t="n">
        <x:f>COUNTIF('03_Inventario_2025'!$M$2:$M$189,B15)</x:f>
        <x:v>9</x:v>
      </x:c>
      <x:c r="O15" s="26" t="n">
        <x:f>IF(OR(D15="",E15=""),"",E15-D15+1)</x:f>
        <x:v>14</x:v>
      </x:c>
      <x:c r="P15" s="10" t="str"/>
    </x:row>
    <x:row r="16" ht="46" customHeight="1">
      <x:c r="A16" s="10" t="str">
        <x:v>EXP-03</x:v>
      </x:c>
      <x:c r="B16" s="10" t="str">
        <x:v>F26-04-EXP</x:v>
      </x:c>
      <x:c r="C16" s="10" t="str">
        <x:v>Revelación y preventa</x:v>
      </x:c>
      <x:c r="D16" s="25" t="n">
        <x:v>46282</x:v>
      </x:c>
      <x:c r="E16" s="25" t="n">
        <x:v>46304</x:v>
      </x:c>
      <x:c r="F16" s="10" t="str">
        <x:v>Alta</x:v>
      </x:c>
      <x:c r="G16" s="10" t="str">
        <x:v>Pendiente</x:v>
      </x:c>
      <x:c r="H16" s="10" t="str">
        <x:v>Campaña de ocupación de stands sin falsa escasez</x:v>
      </x:c>
      <x:c r="I16" s="10" t="str">
        <x:v>Dueño de expositores</x:v>
      </x:c>
      <x:c r="J16" s="10" t="str">
        <x:v>Comunicación + diseño</x:v>
      </x:c>
      <x:c r="K16" s="10" t="str">
        <x:v>Dirección/comercial</x:v>
      </x:c>
      <x:c r="L16" s="10" t="str">
        <x:v>EXP-01 + destino de contacto seguro</x:v>
      </x:c>
      <x:c r="M16" s="10" t="str">
        <x:v>Leads, reservas y ocupación conciliados</x:v>
      </x:c>
      <x:c r="N16" s="26" t="n">
        <x:f>COUNTIF('03_Inventario_2025'!$M$2:$M$189,B16)</x:f>
        <x:v>9</x:v>
      </x:c>
      <x:c r="O16" s="26" t="n">
        <x:f>IF(OR(D16="",E16=""),"",E16-D16+1)</x:f>
        <x:v>23</x:v>
      </x:c>
      <x:c r="P16" s="10" t="str"/>
    </x:row>
    <x:row r="17" ht="46" customHeight="1">
      <x:c r="A17" s="10" t="str">
        <x:v>EXP-04</x:v>
      </x:c>
      <x:c r="B17" s="10" t="str">
        <x:v>F26-04-EXP</x:v>
      </x:c>
      <x:c r="C17" s="10" t="str">
        <x:v>Conversión</x:v>
      </x:c>
      <x:c r="D17" s="25" t="n">
        <x:v>46300</x:v>
      </x:c>
      <x:c r="E17" s="25" t="n">
        <x:v>46328</x:v>
      </x:c>
      <x:c r="F17" s="10" t="str">
        <x:v>Alta</x:v>
      </x:c>
      <x:c r="G17" s="10" t="str">
        <x:v>Pendiente</x:v>
      </x:c>
      <x:c r="H17" s="10" t="str">
        <x:v>Activar Rutas ES TRADICIÓN y Pasaporte Vivo para distribuir flujo</x:v>
      </x:c>
      <x:c r="I17" s="10" t="str">
        <x:v>Experiencia + expositores</x:v>
      </x:c>
      <x:c r="J17" s="10" t="str">
        <x:v>Tecnología + comunicación + operación</x:v>
      </x:c>
      <x:c r="K17" s="10" t="str">
        <x:v>Dirección + operación</x:v>
      </x:c>
      <x:c r="L17" s="10" t="str">
        <x:v>Mapa, participantes, reglas y premios aprobados</x:v>
      </x:c>
      <x:c r="M17" s="10" t="str">
        <x:v>Ruta señalizada, conteos por punto y redenciones</x:v>
      </x:c>
      <x:c r="N17" s="26" t="n">
        <x:f>COUNTIF('03_Inventario_2025'!$M$2:$M$189,B17)</x:f>
        <x:v>9</x:v>
      </x:c>
      <x:c r="O17" s="26" t="n">
        <x:f>IF(OR(D17="",E17=""),"",E17-D17+1)</x:f>
        <x:v>29</x:v>
      </x:c>
      <x:c r="P17" s="10" t="str"/>
    </x:row>
    <x:row r="18" ht="46" customHeight="1">
      <x:c r="A18" s="10" t="str">
        <x:v>ENT-01</x:v>
      </x:c>
      <x:c r="B18" s="10" t="str">
        <x:v>F26-05-ENT</x:v>
      </x:c>
      <x:c r="C18" s="10" t="str">
        <x:v>Preparación interna</x:v>
      </x:c>
      <x:c r="D18" s="25" t="n">
        <x:v>46260</x:v>
      </x:c>
      <x:c r="E18" s="25" t="n">
        <x:v>46267</x:v>
      </x:c>
      <x:c r="F18" s="10" t="str">
        <x:v>Crítica</x:v>
      </x:c>
      <x:c r="G18" s="10" t="str">
        <x:v>Bloqueada por gate</x:v>
      </x:c>
      <x:c r="H18" s="10" t="str">
        <x:v>Cerrar oferta: entrada general, megaescenario, combos, condiciones y reingreso</x:v>
      </x:c>
      <x:c r="I18" s="10" t="str">
        <x:v>Dueño de entradas/comercial — por asignar</x:v>
      </x:c>
      <x:c r="J18" s="10" t="str">
        <x:v>Finanzas + operación + legal</x:v>
      </x:c>
      <x:c r="K18" s="10" t="str">
        <x:v>Dirección general</x:v>
      </x:c>
      <x:c r="L18" s="10" t="str">
        <x:v>Precios, aforo y términos confirmados</x:v>
      </x:c>
      <x:c r="M18" s="10" t="str">
        <x:v>Ficha comercial firmada</x:v>
      </x:c>
      <x:c r="N18" s="26" t="n">
        <x:f>COUNTIF('03_Inventario_2025'!$M$2:$M$189,B18)</x:f>
        <x:v>15</x:v>
      </x:c>
      <x:c r="O18" s="26" t="n">
        <x:f>IF(OR(D18="",E18=""),"",E18-D18+1)</x:f>
        <x:v>8</x:v>
      </x:c>
      <x:c r="P18" s="10" t="str"/>
    </x:row>
    <x:row r="19" ht="46" customHeight="1">
      <x:c r="A19" s="10" t="str">
        <x:v>ENT-02</x:v>
      </x:c>
      <x:c r="B19" s="10" t="str">
        <x:v>F26-05-ENT</x:v>
      </x:c>
      <x:c r="C19" s="10" t="str">
        <x:v>Preparación interna</x:v>
      </x:c>
      <x:c r="D19" s="25" t="n">
        <x:v>46261</x:v>
      </x:c>
      <x:c r="E19" s="25" t="n">
        <x:v>46267</x:v>
      </x:c>
      <x:c r="F19" s="10" t="str">
        <x:v>Crítica</x:v>
      </x:c>
      <x:c r="G19" s="10" t="str">
        <x:v>Bloqueada por gate</x:v>
      </x:c>
      <x:c r="H19" s="10" t="str">
        <x:v>Asegurar destino de venta, tracking, atención y compra de prueba</x:v>
      </x:c>
      <x:c r="I19" s="10" t="str">
        <x:v>Dueño de entradas + tecnología</x:v>
      </x:c>
      <x:c r="J19" s="10" t="str">
        <x:v>Media buyer + atención</x:v>
      </x:c>
      <x:c r="K19" s="10" t="str">
        <x:v>Dirección + finanzas</x:v>
      </x:c>
      <x:c r="L19" s="10" t="str">
        <x:v>ENT-01 + dominio/destino seguro</x:v>
      </x:c>
      <x:c r="M19" s="10" t="str">
        <x:v>Compra reembolsable de prueba y eventos conciliados</x:v>
      </x:c>
      <x:c r="N19" s="26" t="n">
        <x:f>COUNTIF('03_Inventario_2025'!$M$2:$M$189,B19)</x:f>
        <x:v>15</x:v>
      </x:c>
      <x:c r="O19" s="26" t="n">
        <x:f>IF(OR(D19="",E19=""),"",E19-D19+1)</x:f>
        <x:v>7</x:v>
      </x:c>
      <x:c r="P19" s="10" t="str"/>
    </x:row>
    <x:row r="20" ht="46" customHeight="1">
      <x:c r="A20" s="10" t="str">
        <x:v>ENT-03</x:v>
      </x:c>
      <x:c r="B20" s="10" t="str">
        <x:v>F26-05-ENT</x:v>
      </x:c>
      <x:c r="C20" s="10" t="str">
        <x:v>Revelación y preventa</x:v>
      </x:c>
      <x:c r="D20" s="25" t="n">
        <x:v>46282</x:v>
      </x:c>
      <x:c r="E20" s="25" t="n">
        <x:v>46283</x:v>
      </x:c>
      <x:c r="F20" s="10" t="str">
        <x:v>Crítica</x:v>
      </x:c>
      <x:c r="G20" s="10" t="str">
        <x:v>Pendiente</x:v>
      </x:c>
      <x:c r="H20" s="10" t="str">
        <x:v>Lanzar preventa con beneficio real y fecha de cierre</x:v>
      </x:c>
      <x:c r="I20" s="10" t="str">
        <x:v>Dueño de entradas</x:v>
      </x:c>
      <x:c r="J20" s="10" t="str">
        <x:v>Comunicación + pauta + diseño</x:v>
      </x:c>
      <x:c r="K20" s="10" t="str">
        <x:v>Dirección general</x:v>
      </x:c>
      <x:c r="L20" s="10" t="str">
        <x:v>ENT-01 + ENT-02</x:v>
      </x:c>
      <x:c r="M20" s="10" t="str">
        <x:v>Venta habilitada, términos visibles y tablero diario</x:v>
      </x:c>
      <x:c r="N20" s="26" t="n">
        <x:f>COUNTIF('03_Inventario_2025'!$M$2:$M$189,B20)</x:f>
        <x:v>15</x:v>
      </x:c>
      <x:c r="O20" s="26" t="n">
        <x:f>IF(OR(D20="",E20=""),"",E20-D20+1)</x:f>
        <x:v>2</x:v>
      </x:c>
      <x:c r="P20" s="10" t="str"/>
    </x:row>
    <x:row r="21" ht="46" customHeight="1">
      <x:c r="A21" s="10" t="str">
        <x:v>ENT-04</x:v>
      </x:c>
      <x:c r="B21" s="10" t="str">
        <x:v>F26-05-ENT</x:v>
      </x:c>
      <x:c r="C21" s="10" t="str">
        <x:v>Revelación y preventa</x:v>
      </x:c>
      <x:c r="D21" s="25" t="n">
        <x:v>46282</x:v>
      </x:c>
      <x:c r="E21" s="25" t="n">
        <x:v>46304</x:v>
      </x:c>
      <x:c r="F21" s="10" t="str">
        <x:v>Alta</x:v>
      </x:c>
      <x:c r="G21" s="10" t="str">
        <x:v>Pendiente</x:v>
      </x:c>
      <x:c r="H21" s="10" t="str">
        <x:v>Publicar guía de compra y puntos autorizados en video, carrusel y FAQ</x:v>
      </x:c>
      <x:c r="I21" s="10" t="str">
        <x:v>Coordinación comunicación</x:v>
      </x:c>
      <x:c r="J21" s="10" t="str">
        <x:v>Entradas + audiovisual</x:v>
      </x:c>
      <x:c r="K21" s="10" t="str">
        <x:v>Dueño de entradas</x:v>
      </x:c>
      <x:c r="L21" s="10" t="str">
        <x:v>Canales y horarios confirmados</x:v>
      </x:c>
      <x:c r="M21" s="10" t="str">
        <x:v>Piezas aprobadas y consultas resueltas</x:v>
      </x:c>
      <x:c r="N21" s="26" t="n">
        <x:f>COUNTIF('03_Inventario_2025'!$M$2:$M$189,B21)</x:f>
        <x:v>15</x:v>
      </x:c>
      <x:c r="O21" s="26" t="n">
        <x:f>IF(OR(D21="",E21=""),"",E21-D21+1)</x:f>
        <x:v>23</x:v>
      </x:c>
      <x:c r="P21" s="10" t="str"/>
    </x:row>
    <x:row r="22" ht="46" customHeight="1">
      <x:c r="A22" s="10" t="str">
        <x:v>ENT-05</x:v>
      </x:c>
      <x:c r="B22" s="10" t="str">
        <x:v>F26-05-ENT</x:v>
      </x:c>
      <x:c r="C22" s="10" t="str">
        <x:v>Conversión</x:v>
      </x:c>
      <x:c r="D22" s="25" t="n">
        <x:v>46300</x:v>
      </x:c>
      <x:c r="E22" s="25" t="n">
        <x:v>46328</x:v>
      </x:c>
      <x:c r="F22" s="10" t="str">
        <x:v>Crítica</x:v>
      </x:c>
      <x:c r="G22" s="10" t="str">
        <x:v>Pendiente</x:v>
      </x:c>
      <x:c r="H22" s="10" t="str">
        <x:v>Comunicar disponibilidad únicamente desde inventario conciliado</x:v>
      </x:c>
      <x:c r="I22" s="10" t="str">
        <x:v>Dueño de entradas</x:v>
      </x:c>
      <x:c r="J22" s="10" t="str">
        <x:v>Analítica + community manager</x:v>
      </x:c>
      <x:c r="K22" s="10" t="str">
        <x:v>Dirección de marketing</x:v>
      </x:c>
      <x:c r="L22" s="10" t="str">
        <x:v>Fuente de inventario con hora de corte</x:v>
      </x:c>
      <x:c r="M22" s="10" t="str">
        <x:v>Captura diaria del inventario y mensajes publicados</x:v>
      </x:c>
      <x:c r="N22" s="26" t="n">
        <x:f>COUNTIF('03_Inventario_2025'!$M$2:$M$189,B22)</x:f>
        <x:v>15</x:v>
      </x:c>
      <x:c r="O22" s="26" t="n">
        <x:f>IF(OR(D22="",E22=""),"",E22-D22+1)</x:f>
        <x:v>29</x:v>
      </x:c>
      <x:c r="P22" s="10" t="str"/>
    </x:row>
    <x:row r="23" ht="46" customHeight="1">
      <x:c r="A23" s="10" t="str">
        <x:v>CON-01</x:v>
      </x:c>
      <x:c r="B23" s="10" t="str">
        <x:v>F26-06-CONT</x:v>
      </x:c>
      <x:c r="C23" s="10" t="str">
        <x:v>Preparación interna</x:v>
      </x:c>
      <x:c r="D23" s="25" t="n">
        <x:v>46260</x:v>
      </x:c>
      <x:c r="E23" s="25" t="n">
        <x:v>46267</x:v>
      </x:c>
      <x:c r="F23" s="10" t="str">
        <x:v>Crítica</x:v>
      </x:c>
      <x:c r="G23" s="10" t="str">
        <x:v>En curso</x:v>
      </x:c>
      <x:c r="H23" s="10" t="str">
        <x:v>Inventariar archivo histórico, derechos, calidad, año y uso permitido</x:v>
      </x:c>
      <x:c r="I23" s="10" t="str">
        <x:v>Coordinación diseño/audiovisual</x:v>
      </x:c>
      <x:c r="J23" s="10" t="str">
        <x:v>Comunicación + archivo</x:v>
      </x:c>
      <x:c r="K23" s="10" t="str">
        <x:v>Dirección de marketing</x:v>
      </x:c>
      <x:c r="L23" s="10" t="str">
        <x:v>Acceso al banco y autorizaciones</x:v>
      </x:c>
      <x:c r="M23" s="10" t="str">
        <x:v>Catálogo con metadatos; ningún binario pesado en Git</x:v>
      </x:c>
      <x:c r="N23" s="26" t="n">
        <x:f>COUNTIF('03_Inventario_2025'!$M$2:$M$189,B23)</x:f>
        <x:v>14</x:v>
      </x:c>
      <x:c r="O23" s="26" t="n">
        <x:f>IF(OR(D23="",E23=""),"",E23-D23+1)</x:f>
        <x:v>8</x:v>
      </x:c>
      <x:c r="P23" s="10" t="str"/>
    </x:row>
    <x:row r="24" ht="46" customHeight="1">
      <x:c r="A24" s="10" t="str">
        <x:v>CON-02</x:v>
      </x:c>
      <x:c r="B24" s="10" t="str">
        <x:v>F26-06-CONT</x:v>
      </x:c>
      <x:c r="C24" s="10" t="str">
        <x:v>Preparación interna</x:v>
      </x:c>
      <x:c r="D24" s="25" t="n">
        <x:v>46261</x:v>
      </x:c>
      <x:c r="E24" s="25" t="n">
        <x:v>46267</x:v>
      </x:c>
      <x:c r="F24" s="10" t="str">
        <x:v>Crítica</x:v>
      </x:c>
      <x:c r="G24" s="10" t="str">
        <x:v>En curso</x:v>
      </x:c>
      <x:c r="H24" s="10" t="str">
        <x:v>Cerrar calendario editorial semanal del 25 de agosto al 2 de noviembre</x:v>
      </x:c>
      <x:c r="I24" s="10" t="str">
        <x:v>Coordinación comunicación</x:v>
      </x:c>
      <x:c r="J24" s="10" t="str">
        <x:v>Diseño + audiovisual + datos</x:v>
      </x:c>
      <x:c r="K24" s="10" t="str">
        <x:v>Dirección de marketing</x:v>
      </x:c>
      <x:c r="L24" s="10" t="str">
        <x:v>MAR-01 + fechas ratificadas</x:v>
      </x:c>
      <x:c r="M24" s="10" t="str">
        <x:v>Calendario con objetivo, audiencia, formato, CTA y dueño</x:v>
      </x:c>
      <x:c r="N24" s="26" t="n">
        <x:f>COUNTIF('03_Inventario_2025'!$M$2:$M$189,B24)</x:f>
        <x:v>14</x:v>
      </x:c>
      <x:c r="O24" s="26" t="n">
        <x:f>IF(OR(D24="",E24=""),"",E24-D24+1)</x:f>
        <x:v>7</x:v>
      </x:c>
      <x:c r="P24" s="10" t="str"/>
    </x:row>
    <x:row r="25" ht="46" customHeight="1">
      <x:c r="A25" s="10" t="str">
        <x:v>CON-03</x:v>
      </x:c>
      <x:c r="B25" s="10" t="str">
        <x:v>F26-06-CONT</x:v>
      </x:c>
      <x:c r="C25" s="10" t="str">
        <x:v>Expectativa</x:v>
      </x:c>
      <x:c r="D25" s="25" t="n">
        <x:v>46261</x:v>
      </x:c>
      <x:c r="E25" s="25" t="n">
        <x:v>46267</x:v>
      </x:c>
      <x:c r="F25" s="10" t="str">
        <x:v>Crítica</x:v>
      </x:c>
      <x:c r="G25" s="10" t="str">
        <x:v>Pendiente</x:v>
      </x:c>
      <x:c r="H25" s="10" t="str">
        <x:v>Producir tres pilotos: recuerdo, experiencia y utilidad</x:v>
      </x:c>
      <x:c r="I25" s="10" t="str">
        <x:v>Coordinación diseño/audiovisual</x:v>
      </x:c>
      <x:c r="J25" s="10" t="str">
        <x:v>Equipo de diseño y audiovisual</x:v>
      </x:c>
      <x:c r="K25" s="10" t="str">
        <x:v>Dirección de marketing + aprobación cultural</x:v>
      </x:c>
      <x:c r="L25" s="10" t="str">
        <x:v>CON-01 + MAR-04</x:v>
      </x:c>
      <x:c r="M25" s="10" t="str">
        <x:v>Tres pilotos evaluados con rúbrica</x:v>
      </x:c>
      <x:c r="N25" s="26" t="n">
        <x:f>COUNTIF('03_Inventario_2025'!$M$2:$M$189,B25)</x:f>
        <x:v>14</x:v>
      </x:c>
      <x:c r="O25" s="26" t="n">
        <x:f>IF(OR(D25="",E25=""),"",E25-D25+1)</x:f>
        <x:v>7</x:v>
      </x:c>
      <x:c r="P25" s="10" t="str"/>
    </x:row>
    <x:row r="26" ht="46" customHeight="1">
      <x:c r="A26" s="10" t="str">
        <x:v>CON-04</x:v>
      </x:c>
      <x:c r="B26" s="10" t="str">
        <x:v>F26-06-CONT</x:v>
      </x:c>
      <x:c r="C26" s="10" t="str">
        <x:v>Expectativa</x:v>
      </x:c>
      <x:c r="D26" s="25" t="n">
        <x:v>46268</x:v>
      </x:c>
      <x:c r="E26" s="25" t="n">
        <x:v>46281</x:v>
      </x:c>
      <x:c r="F26" s="10" t="str">
        <x:v>Alta</x:v>
      </x:c>
      <x:c r="G26" s="10" t="str">
        <x:v>Pendiente</x:v>
      </x:c>
      <x:c r="H26" s="10" t="str">
        <x:v>Publicar expectativa ES TRADICIÓN sin cartel ni promesas no confirmadas</x:v>
      </x:c>
      <x:c r="I26" s="10" t="str">
        <x:v>Coordinación comunicación</x:v>
      </x:c>
      <x:c r="J26" s="10" t="str">
        <x:v>Community manager + audiovisual</x:v>
      </x:c>
      <x:c r="K26" s="10" t="str">
        <x:v>Dirección de marketing</x:v>
      </x:c>
      <x:c r="L26" s="10" t="str">
        <x:v>Gate Go/No-Go del 2 de septiembre</x:v>
      </x:c>
      <x:c r="M26" s="10" t="str">
        <x:v>Log editorial y métricas comparables por pieza</x:v>
      </x:c>
      <x:c r="N26" s="26" t="n">
        <x:f>COUNTIF('03_Inventario_2025'!$M$2:$M$189,B26)</x:f>
        <x:v>14</x:v>
      </x:c>
      <x:c r="O26" s="26" t="n">
        <x:f>IF(OR(D26="",E26=""),"",E26-D26+1)</x:f>
        <x:v>14</x:v>
      </x:c>
      <x:c r="P26" s="10" t="str"/>
    </x:row>
    <x:row r="27" ht="46" customHeight="1">
      <x:c r="A27" s="10" t="str">
        <x:v>CON-05</x:v>
      </x:c>
      <x:c r="B27" s="10" t="str">
        <x:v>F26-06-CONT</x:v>
      </x:c>
      <x:c r="C27" s="10" t="str">
        <x:v>Conversión</x:v>
      </x:c>
      <x:c r="D27" s="25" t="n">
        <x:v>46300</x:v>
      </x:c>
      <x:c r="E27" s="25" t="n">
        <x:v>46323</x:v>
      </x:c>
      <x:c r="F27" s="10" t="str">
        <x:v>Alta</x:v>
      </x:c>
      <x:c r="G27" s="10" t="str">
        <x:v>Pendiente</x:v>
      </x:c>
      <x:c r="H27" s="10" t="str">
        <x:v>Operar matriz de contenidos con máximo diario, recurrencia y reposición por desempeño</x:v>
      </x:c>
      <x:c r="I27" s="10" t="str">
        <x:v>Coordinación comunicación</x:v>
      </x:c>
      <x:c r="J27" s="10" t="str">
        <x:v>Analítica + diseño + audiovisual</x:v>
      </x:c>
      <x:c r="K27" s="10" t="str">
        <x:v>Dirección de marketing</x:v>
      </x:c>
      <x:c r="L27" s="10" t="str">
        <x:v>Calendario y medición activos</x:v>
      </x:c>
      <x:c r="M27" s="10" t="str">
        <x:v>Frecuencia controlada; sin repetir saturación 2025</x:v>
      </x:c>
      <x:c r="N27" s="26" t="n">
        <x:f>COUNTIF('03_Inventario_2025'!$M$2:$M$189,B27)</x:f>
        <x:v>14</x:v>
      </x:c>
      <x:c r="O27" s="26" t="n">
        <x:f>IF(OR(D27="",E27=""),"",E27-D27+1)</x:f>
        <x:v>24</x:v>
      </x:c>
      <x:c r="P27" s="10" t="str"/>
    </x:row>
    <x:row r="28" ht="46" customHeight="1">
      <x:c r="A28" s="10" t="str">
        <x:v>SHO-01</x:v>
      </x:c>
      <x:c r="B28" s="10" t="str">
        <x:v>F26-07-SHOW</x:v>
      </x:c>
      <x:c r="C28" s="10" t="str">
        <x:v>Preparación interna</x:v>
      </x:c>
      <x:c r="D28" s="25" t="n">
        <x:v>46260</x:v>
      </x:c>
      <x:c r="E28" s="25" t="n">
        <x:v>46272</x:v>
      </x:c>
      <x:c r="F28" s="10" t="str">
        <x:v>Crítica</x:v>
      </x:c>
      <x:c r="G28" s="10" t="str">
        <x:v>Bloqueada por gate</x:v>
      </x:c>
      <x:c r="H28" s="10" t="str">
        <x:v>Mantener cartel nominal y correspondencias en fuente controlada fuera del Git público</x:v>
      </x:c>
      <x:c r="I28" s="10" t="str">
        <x:v>Programación</x:v>
      </x:c>
      <x:c r="J28" s="10" t="str">
        <x:v>Dirección + comunicación</x:v>
      </x:c>
      <x:c r="K28" s="10" t="str">
        <x:v>Dirección general</x:v>
      </x:c>
      <x:c r="L28" s="10" t="str">
        <x:v>Fuente con acceso controlado aprobada</x:v>
      </x:c>
      <x:c r="M28" s="10" t="str">
        <x:v>Inventario por códigos, contratos y responsables</x:v>
      </x:c>
      <x:c r="N28" s="26" t="n">
        <x:f>COUNTIF('03_Inventario_2025'!$M$2:$M$189,B28)</x:f>
        <x:v>24</x:v>
      </x:c>
      <x:c r="O28" s="26" t="n">
        <x:f>IF(OR(D28="",E28=""),"",E28-D28+1)</x:f>
        <x:v>13</x:v>
      </x:c>
      <x:c r="P28" s="10" t="str"/>
    </x:row>
    <x:row r="29" ht="46" customHeight="1">
      <x:c r="A29" s="10" t="str">
        <x:v>SHO-02</x:v>
      </x:c>
      <x:c r="B29" s="10" t="str">
        <x:v>F26-07-SHOW</x:v>
      </x:c>
      <x:c r="C29" s="10" t="str">
        <x:v>Revelación y preventa</x:v>
      </x:c>
      <x:c r="D29" s="25" t="n">
        <x:v>46272</x:v>
      </x:c>
      <x:c r="E29" s="25" t="n">
        <x:v>46297</x:v>
      </x:c>
      <x:c r="F29" s="10" t="str">
        <x:v>Crítica</x:v>
      </x:c>
      <x:c r="G29" s="10" t="str">
        <x:v>Bloqueada por gate</x:v>
      </x:c>
      <x:c r="H29" s="10" t="str">
        <x:v>Ejecutar secuencia de revelaciones por códigos y función de cada jornada</x:v>
      </x:c>
      <x:c r="I29" s="10" t="str">
        <x:v>Coordinación comunicación</x:v>
      </x:c>
      <x:c r="J29" s="10" t="str">
        <x:v>Programación + diseño + audiovisual</x:v>
      </x:c>
      <x:c r="K29" s="10" t="str">
        <x:v>Dirección + programación</x:v>
      </x:c>
      <x:c r="L29" s="10" t="str">
        <x:v>Contrato, grafía, fecha, derechos, precio y compra de prueba</x:v>
      </x:c>
      <x:c r="M29" s="10" t="str">
        <x:v>Checklist firmado por cada revelación</x:v>
      </x:c>
      <x:c r="N29" s="26" t="n">
        <x:f>COUNTIF('03_Inventario_2025'!$M$2:$M$189,B29)</x:f>
        <x:v>24</x:v>
      </x:c>
      <x:c r="O29" s="26" t="n">
        <x:f>IF(OR(D29="",E29=""),"",E29-D29+1)</x:f>
        <x:v>26</x:v>
      </x:c>
      <x:c r="P29" s="10" t="str"/>
    </x:row>
    <x:row r="30" ht="46" customHeight="1">
      <x:c r="A30" s="10" t="str">
        <x:v>SHO-03</x:v>
      </x:c>
      <x:c r="B30" s="10" t="str">
        <x:v>F26-07-SHOW</x:v>
      </x:c>
      <x:c r="C30" s="10" t="str">
        <x:v>Conversión</x:v>
      </x:c>
      <x:c r="D30" s="25" t="n">
        <x:v>46300</x:v>
      </x:c>
      <x:c r="E30" s="25" t="n">
        <x:v>46318</x:v>
      </x:c>
      <x:c r="F30" s="10" t="str">
        <x:v>Alta</x:v>
      </x:c>
      <x:c r="G30" s="10" t="str">
        <x:v>Pendiente</x:v>
      </x:c>
      <x:c r="H30" s="10" t="str">
        <x:v>Producir saludos, hooks, karaoke y experiencias musicales con CTA medible</x:v>
      </x:c>
      <x:c r="I30" s="10" t="str">
        <x:v>Coordinación diseño/audiovisual</x:v>
      </x:c>
      <x:c r="J30" s="10" t="str">
        <x:v>Programación + comunicación</x:v>
      </x:c>
      <x:c r="K30" s="10" t="str">
        <x:v>Dirección de marketing</x:v>
      </x:c>
      <x:c r="L30" s="10" t="str">
        <x:v>SHO-02 + derechos</x:v>
      </x:c>
      <x:c r="M30" s="10" t="str">
        <x:v>Piezas por jornada con UTMs y versiones</x:v>
      </x:c>
      <x:c r="N30" s="26" t="n">
        <x:f>COUNTIF('03_Inventario_2025'!$M$2:$M$189,B30)</x:f>
        <x:v>24</x:v>
      </x:c>
      <x:c r="O30" s="26" t="n">
        <x:f>IF(OR(D30="",E30=""),"",E30-D30+1)</x:f>
        <x:v>19</x:v>
      </x:c>
      <x:c r="P30" s="10" t="str"/>
    </x:row>
    <x:row r="31" ht="46" customHeight="1">
      <x:c r="A31" s="10" t="str">
        <x:v>SHO-04</x:v>
      </x:c>
      <x:c r="B31" s="10" t="str">
        <x:v>F26-07-SHOW</x:v>
      </x:c>
      <x:c r="C31" s="10" t="str">
        <x:v>Conversión</x:v>
      </x:c>
      <x:c r="D31" s="25" t="n">
        <x:v>46307</x:v>
      </x:c>
      <x:c r="E31" s="25" t="n">
        <x:v>46328</x:v>
      </x:c>
      <x:c r="F31" s="10" t="str">
        <x:v>Crítica</x:v>
      </x:c>
      <x:c r="G31" s="10" t="str">
        <x:v>Pendiente</x:v>
      </x:c>
      <x:c r="H31" s="10" t="str">
        <x:v>Publicar programación diaria solo desde la fuente operativa vigente</x:v>
      </x:c>
      <x:c r="I31" s="10" t="str">
        <x:v>Coordinación comunicación</x:v>
      </x:c>
      <x:c r="J31" s="10" t="str">
        <x:v>Programación + operación</x:v>
      </x:c>
      <x:c r="K31" s="10" t="str">
        <x:v>Programación</x:v>
      </x:c>
      <x:c r="L31" s="10" t="str">
        <x:v>Horarios y escenarios confirmados</x:v>
      </x:c>
      <x:c r="M31" s="10" t="str">
        <x:v>Programa versionado con hora de corte</x:v>
      </x:c>
      <x:c r="N31" s="26" t="n">
        <x:f>COUNTIF('03_Inventario_2025'!$M$2:$M$189,B31)</x:f>
        <x:v>24</x:v>
      </x:c>
      <x:c r="O31" s="26" t="n">
        <x:f>IF(OR(D31="",E31=""),"",E31-D31+1)</x:f>
        <x:v>22</x:v>
      </x:c>
      <x:c r="P31" s="10" t="str"/>
    </x:row>
    <x:row r="32" ht="46" customHeight="1">
      <x:c r="A32" s="10" t="str">
        <x:v>TRA-01</x:v>
      </x:c>
      <x:c r="B32" s="10" t="str">
        <x:v>F26-08-TRAD</x:v>
      </x:c>
      <x:c r="C32" s="10" t="str">
        <x:v>Preparación interna</x:v>
      </x:c>
      <x:c r="D32" s="25" t="n">
        <x:v>46261</x:v>
      </x:c>
      <x:c r="E32" s="25" t="n">
        <x:v>46269</x:v>
      </x:c>
      <x:c r="F32" s="10" t="str">
        <x:v>Alta</x:v>
      </x:c>
      <x:c r="G32" s="10" t="str">
        <x:v>Pendiente</x:v>
      </x:c>
      <x:c r="H32" s="10" t="str">
        <x:v>Diseñar arco de cinco días con razón distinta para asistir y volver</x:v>
      </x:c>
      <x:c r="I32" s="10" t="str">
        <x:v>Experiencia — por asignar</x:v>
      </x:c>
      <x:c r="J32" s="10" t="str">
        <x:v>Programación + operación + marketing</x:v>
      </x:c>
      <x:c r="K32" s="10" t="str">
        <x:v>Dirección + aprobación cultural</x:v>
      </x:c>
      <x:c r="L32" s="10" t="str">
        <x:v>Capacidades y programación preliminar</x:v>
      </x:c>
      <x:c r="M32" s="10" t="str">
        <x:v>Promesa y ritual por Día 1–Día 5</x:v>
      </x:c>
      <x:c r="N32" s="26" t="n">
        <x:f>COUNTIF('03_Inventario_2025'!$M$2:$M$189,B32)</x:f>
        <x:v>14</x:v>
      </x:c>
      <x:c r="O32" s="26" t="n">
        <x:f>IF(OR(D32="",E32=""),"",E32-D32+1)</x:f>
        <x:v>9</x:v>
      </x:c>
      <x:c r="P32" s="10" t="str"/>
    </x:row>
    <x:row r="33" ht="46" customHeight="1">
      <x:c r="A33" s="10" t="str">
        <x:v>TRA-02</x:v>
      </x:c>
      <x:c r="B33" s="10" t="str">
        <x:v>F26-08-TRAD</x:v>
      </x:c>
      <x:c r="C33" s="10" t="str">
        <x:v>Expectativa</x:v>
      </x:c>
      <x:c r="D33" s="25" t="n">
        <x:v>46263</x:v>
      </x:c>
      <x:c r="E33" s="25" t="n">
        <x:v>46281</x:v>
      </x:c>
      <x:c r="F33" s="10" t="str">
        <x:v>Alta</x:v>
      </x:c>
      <x:c r="G33" s="10" t="str">
        <x:v>Pendiente</x:v>
      </x:c>
      <x:c r="H33" s="10" t="str">
        <x:v>Seleccionar con consentimiento 4–6 visitantes frecuentes y contar su memoria</x:v>
      </x:c>
      <x:c r="I33" s="10" t="str">
        <x:v>Relaciones públicas</x:v>
      </x:c>
      <x:c r="J33" s="10" t="str">
        <x:v>Audiovisual + comunidad</x:v>
      </x:c>
      <x:c r="K33" s="10" t="str">
        <x:v>Dirección + aprobación cultural</x:v>
      </x:c>
      <x:c r="L33" s="10" t="str">
        <x:v>Criterios, permisos y relatos verificados</x:v>
      </x:c>
      <x:c r="M33" s="10" t="str">
        <x:v>Consentimientos y piezas de memoria</x:v>
      </x:c>
      <x:c r="N33" s="26" t="n">
        <x:f>COUNTIF('03_Inventario_2025'!$M$2:$M$189,B33)</x:f>
        <x:v>14</x:v>
      </x:c>
      <x:c r="O33" s="26" t="n">
        <x:f>IF(OR(D33="",E33=""),"",E33-D33+1)</x:f>
        <x:v>19</x:v>
      </x:c>
      <x:c r="P33" s="10" t="str"/>
    </x:row>
    <x:row r="34" ht="46" customHeight="1">
      <x:c r="A34" s="10" t="str">
        <x:v>TRA-03</x:v>
      </x:c>
      <x:c r="B34" s="10" t="str">
        <x:v>F26-08-TRAD</x:v>
      </x:c>
      <x:c r="C34" s="10" t="str">
        <x:v>Revelación y preventa</x:v>
      </x:c>
      <x:c r="D34" s="25" t="n">
        <x:v>46275</x:v>
      </x:c>
      <x:c r="E34" s="25" t="n">
        <x:v>46304</x:v>
      </x:c>
      <x:c r="F34" s="10" t="str">
        <x:v>Alta</x:v>
      </x:c>
      <x:c r="G34" s="10" t="str">
        <x:v>Pendiente</x:v>
      </x:c>
      <x:c r="H34" s="10" t="str">
        <x:v>Rediseñar Rey Pan, Srta. Colada Morada y guaguas de pan con jurado y antifraude</x:v>
      </x:c>
      <x:c r="I34" s="10" t="str">
        <x:v>Experiencia + aprobación cultural</x:v>
      </x:c>
      <x:c r="J34" s="10" t="str">
        <x:v>Comunicación + producción</x:v>
      </x:c>
      <x:c r="K34" s="10" t="str">
        <x:v>Dirección + operación</x:v>
      </x:c>
      <x:c r="L34" s="10" t="str">
        <x:v>Reglamento, premios, jurado y capacidad</x:v>
      </x:c>
      <x:c r="M34" s="10" t="str">
        <x:v>Bases publicadas y acta de resultados</x:v>
      </x:c>
      <x:c r="N34" s="26" t="n">
        <x:f>COUNTIF('03_Inventario_2025'!$M$2:$M$189,B34)</x:f>
        <x:v>14</x:v>
      </x:c>
      <x:c r="O34" s="26" t="n">
        <x:f>IF(OR(D34="",E34=""),"",E34-D34+1)</x:f>
        <x:v>30</x:v>
      </x:c>
      <x:c r="P34" s="10" t="str"/>
    </x:row>
    <x:row r="35" ht="46" customHeight="1">
      <x:c r="A35" s="10" t="str">
        <x:v>TRA-04</x:v>
      </x:c>
      <x:c r="B35" s="10" t="str">
        <x:v>F26-08-TRAD</x:v>
      </x:c>
      <x:c r="C35" s="10" t="str">
        <x:v>Conversión</x:v>
      </x:c>
      <x:c r="D35" s="25" t="n">
        <x:v>46286</x:v>
      </x:c>
      <x:c r="E35" s="25" t="n">
        <x:v>46318</x:v>
      </x:c>
      <x:c r="F35" s="10" t="str">
        <x:v>Crítica</x:v>
      </x:c>
      <x:c r="G35" s="10" t="str">
        <x:v>Pendiente</x:v>
      </x:c>
      <x:c r="H35" s="10" t="str">
        <x:v>Cerrar operación y comunicación de 25.000 vasos de colada morada</x:v>
      </x:c>
      <x:c r="I35" s="10" t="str">
        <x:v>Producción/experiencia</x:v>
      </x:c>
      <x:c r="J35" s="10" t="str">
        <x:v>Seguridad + servicio + comunicación</x:v>
      </x:c>
      <x:c r="K35" s="10" t="str">
        <x:v>Operación + dirección</x:v>
      </x:c>
      <x:c r="L35" s="10" t="str">
        <x:v>Abastecimiento, horario, flujo, higiene y contingencia</x:v>
      </x:c>
      <x:c r="M35" s="10" t="str">
        <x:v>Plan operativo aprobado y pieza factual</x:v>
      </x:c>
      <x:c r="N35" s="26" t="n">
        <x:f>COUNTIF('03_Inventario_2025'!$M$2:$M$189,B35)</x:f>
        <x:v>14</x:v>
      </x:c>
      <x:c r="O35" s="26" t="n">
        <x:f>IF(OR(D35="",E35=""),"",E35-D35+1)</x:f>
        <x:v>33</x:v>
      </x:c>
      <x:c r="P35" s="10" t="str"/>
    </x:row>
    <x:row r="36" ht="46" customHeight="1">
      <x:c r="A36" s="10" t="str">
        <x:v>TRA-05</x:v>
      </x:c>
      <x:c r="B36" s="10" t="str">
        <x:v>F26-08-TRAD</x:v>
      </x:c>
      <x:c r="C36" s="10" t="str">
        <x:v>Conversión</x:v>
      </x:c>
      <x:c r="D36" s="25" t="n">
        <x:v>46300</x:v>
      </x:c>
      <x:c r="E36" s="25" t="n">
        <x:v>46323</x:v>
      </x:c>
      <x:c r="F36" s="10" t="str">
        <x:v>Alta</x:v>
      </x:c>
      <x:c r="G36" s="10" t="str">
        <x:v>Pendiente</x:v>
      </x:c>
      <x:c r="H36" s="10" t="str">
        <x:v>Crear incentivo de Día 1 y retorno sin reutilizar el boleto dorado</x:v>
      </x:c>
      <x:c r="I36" s="10" t="str">
        <x:v>Experiencia + entradas</x:v>
      </x:c>
      <x:c r="J36" s="10" t="str">
        <x:v>Expositores + finanzas + comunicación</x:v>
      </x:c>
      <x:c r="K36" s="10" t="str">
        <x:v>Dirección + operación</x:v>
      </x:c>
      <x:c r="L36" s="10" t="str">
        <x:v>Economía, reglas y capacidad validadas</x:v>
      </x:c>
      <x:c r="M36" s="10" t="str">
        <x:v>Mecánica nueva, limitada, auditada y medible</x:v>
      </x:c>
      <x:c r="N36" s="26" t="n">
        <x:f>COUNTIF('03_Inventario_2025'!$M$2:$M$189,B36)</x:f>
        <x:v>14</x:v>
      </x:c>
      <x:c r="O36" s="26" t="n">
        <x:f>IF(OR(D36="",E36=""),"",E36-D36+1)</x:f>
        <x:v>24</x:v>
      </x:c>
      <x:c r="P36" s="10" t="str"/>
    </x:row>
    <x:row r="37" ht="46" customHeight="1">
      <x:c r="A37" s="10" t="str">
        <x:v>TRA-06</x:v>
      </x:c>
      <x:c r="B37" s="10" t="str">
        <x:v>F26-08-TRAD</x:v>
      </x:c>
      <x:c r="C37" s="10" t="str">
        <x:v>En vivo</x:v>
      </x:c>
      <x:c r="D37" s="25" t="n">
        <x:v>46324</x:v>
      </x:c>
      <x:c r="E37" s="25" t="n">
        <x:v>46328</x:v>
      </x:c>
      <x:c r="F37" s="10" t="str">
        <x:v>Alta</x:v>
      </x:c>
      <x:c r="G37" s="10" t="str">
        <x:v>Pendiente</x:v>
      </x:c>
      <x:c r="H37" s="10" t="str">
        <x:v>Ejecutar ritual diario, Mushuc Activo y momentos familiares compartibles</x:v>
      </x:c>
      <x:c r="I37" s="10" t="str">
        <x:v>Experiencia + producción</x:v>
      </x:c>
      <x:c r="J37" s="10" t="str">
        <x:v>Audiovisual + comunicación</x:v>
      </x:c>
      <x:c r="K37" s="10" t="str">
        <x:v>Operación + aprobación cultural</x:v>
      </x:c>
      <x:c r="L37" s="10" t="str">
        <x:v>Run of show y seguridad</x:v>
      </x:c>
      <x:c r="M37" s="10" t="str">
        <x:v>Bitácora diaria, asistencia y material capturado</x:v>
      </x:c>
      <x:c r="N37" s="26" t="n">
        <x:f>COUNTIF('03_Inventario_2025'!$M$2:$M$189,B37)</x:f>
        <x:v>14</x:v>
      </x:c>
      <x:c r="O37" s="26" t="n">
        <x:f>IF(OR(D37="",E37=""),"",E37-D37+1)</x:f>
        <x:v>5</x:v>
      </x:c>
      <x:c r="P37" s="10" t="str"/>
    </x:row>
    <x:row r="38" ht="46" customHeight="1">
      <x:c r="A38" s="10" t="str">
        <x:v>CRE-01</x:v>
      </x:c>
      <x:c r="B38" s="10" t="str">
        <x:v>F26-09-CREA</x:v>
      </x:c>
      <x:c r="C38" s="10" t="str">
        <x:v>Preparación interna</x:v>
      </x:c>
      <x:c r="D38" s="25" t="n">
        <x:v>46262</x:v>
      </x:c>
      <x:c r="E38" s="25" t="n">
        <x:v>46269</x:v>
      </x:c>
      <x:c r="F38" s="10" t="str">
        <x:v>Alta</x:v>
      </x:c>
      <x:c r="G38" s="10" t="str">
        <x:v>Pendiente</x:v>
      </x:c>
      <x:c r="H38" s="10" t="str">
        <x:v>Cerrar programa de creadores con fondo fijo, métricas válidas y límites</x:v>
      </x:c>
      <x:c r="I38" s="10" t="str">
        <x:v>Coordinación comunicación</x:v>
      </x:c>
      <x:c r="J38" s="10" t="str">
        <x:v>Relaciones públicas + finanzas</x:v>
      </x:c>
      <x:c r="K38" s="10" t="str">
        <x:v>Dirección de marketing</x:v>
      </x:c>
      <x:c r="L38" s="10" t="str">
        <x:v>Presupuesto separado y términos</x:v>
      </x:c>
      <x:c r="M38" s="10" t="str">
        <x:v>Bases, pagos máximos, derechos y antifraude</x:v>
      </x:c>
      <x:c r="N38" s="26" t="n">
        <x:f>COUNTIF('03_Inventario_2025'!$M$2:$M$189,B38)</x:f>
        <x:v>15</x:v>
      </x:c>
      <x:c r="O38" s="26" t="n">
        <x:f>IF(OR(D38="",E38=""),"",E38-D38+1)</x:f>
        <x:v>8</x:v>
      </x:c>
      <x:c r="P38" s="10" t="str"/>
    </x:row>
    <x:row r="39" ht="46" customHeight="1">
      <x:c r="A39" s="10" t="str">
        <x:v>CRE-02</x:v>
      </x:c>
      <x:c r="B39" s="10" t="str">
        <x:v>F26-09-CREA</x:v>
      </x:c>
      <x:c r="C39" s="10" t="str">
        <x:v>Expectativa</x:v>
      </x:c>
      <x:c r="D39" s="25" t="n">
        <x:v>46268</x:v>
      </x:c>
      <x:c r="E39" s="25" t="n">
        <x:v>46276</x:v>
      </x:c>
      <x:c r="F39" s="10" t="str">
        <x:v>Alta</x:v>
      </x:c>
      <x:c r="G39" s="10" t="str">
        <x:v>Pendiente</x:v>
      </x:c>
      <x:c r="H39" s="10" t="str">
        <x:v>Abrir convocatoria ¿Quieres ser parte de la feria?</x:v>
      </x:c>
      <x:c r="I39" s="10" t="str">
        <x:v>Relaciones públicas</x:v>
      </x:c>
      <x:c r="J39" s="10" t="str">
        <x:v>Comunicación + diseño</x:v>
      </x:c>
      <x:c r="K39" s="10" t="str">
        <x:v>Dirección de marketing</x:v>
      </x:c>
      <x:c r="L39" s="10" t="str">
        <x:v>CRE-01</x:v>
      </x:c>
      <x:c r="M39" s="10" t="str">
        <x:v>Formulario seguro, registro y criterios de selección</x:v>
      </x:c>
      <x:c r="N39" s="26" t="n">
        <x:f>COUNTIF('03_Inventario_2025'!$M$2:$M$189,B39)</x:f>
        <x:v>15</x:v>
      </x:c>
      <x:c r="O39" s="26" t="n">
        <x:f>IF(OR(D39="",E39=""),"",E39-D39+1)</x:f>
        <x:v>9</x:v>
      </x:c>
      <x:c r="P39" s="10" t="str"/>
    </x:row>
    <x:row r="40" ht="46" customHeight="1">
      <x:c r="A40" s="10" t="str">
        <x:v>CRE-03</x:v>
      </x:c>
      <x:c r="B40" s="10" t="str">
        <x:v>F26-09-CREA</x:v>
      </x:c>
      <x:c r="C40" s="10" t="str">
        <x:v>Revelación y preventa</x:v>
      </x:c>
      <x:c r="D40" s="25" t="n">
        <x:v>46277</x:v>
      </x:c>
      <x:c r="E40" s="25" t="n">
        <x:v>46318</x:v>
      </x:c>
      <x:c r="F40" s="10" t="str">
        <x:v>Alta</x:v>
      </x:c>
      <x:c r="G40" s="10" t="str">
        <x:v>Pendiente</x:v>
      </x:c>
      <x:c r="H40" s="10" t="str">
        <x:v>Producir briefs, guiones y contenidos con creadores seleccionados</x:v>
      </x:c>
      <x:c r="I40" s="10" t="str">
        <x:v>Coordinación comunicación</x:v>
      </x:c>
      <x:c r="J40" s="10" t="str">
        <x:v>Audiovisual + producción</x:v>
      </x:c>
      <x:c r="K40" s="10" t="str">
        <x:v>Dirección de marketing</x:v>
      </x:c>
      <x:c r="L40" s="10" t="str">
        <x:v>Selección, contratos y derechos</x:v>
      </x:c>
      <x:c r="M40" s="10" t="str">
        <x:v>Entregables aceptados y enlaces medidos</x:v>
      </x:c>
      <x:c r="N40" s="26" t="n">
        <x:f>COUNTIF('03_Inventario_2025'!$M$2:$M$189,B40)</x:f>
        <x:v>15</x:v>
      </x:c>
      <x:c r="O40" s="26" t="n">
        <x:f>IF(OR(D40="",E40=""),"",E40-D40+1)</x:f>
        <x:v>42</x:v>
      </x:c>
      <x:c r="P40" s="10" t="str"/>
    </x:row>
    <x:row r="41" ht="46" customHeight="1">
      <x:c r="A41" s="10" t="str">
        <x:v>CRE-04</x:v>
      </x:c>
      <x:c r="B41" s="10" t="str">
        <x:v>F26-09-CREA</x:v>
      </x:c>
      <x:c r="C41" s="10" t="str">
        <x:v>Cierre</x:v>
      </x:c>
      <x:c r="D41" s="25" t="n">
        <x:v>46329</x:v>
      </x:c>
      <x:c r="E41" s="25" t="n">
        <x:v>46336</x:v>
      </x:c>
      <x:c r="F41" s="10" t="str">
        <x:v>Alta</x:v>
      </x:c>
      <x:c r="G41" s="10" t="str">
        <x:v>Pendiente</x:v>
      </x:c>
      <x:c r="H41" s="10" t="str">
        <x:v>Validar evidencia y cerrar compensaciones sin pagar vistas no verificadas</x:v>
      </x:c>
      <x:c r="I41" s="10" t="str">
        <x:v>Relaciones públicas + finanzas</x:v>
      </x:c>
      <x:c r="J41" s="10" t="str">
        <x:v>Analítica</x:v>
      </x:c>
      <x:c r="K41" s="10" t="str">
        <x:v>Dirección de marketing</x:v>
      </x:c>
      <x:c r="L41" s="10" t="str">
        <x:v>CRE-01 + CRE-03</x:v>
      </x:c>
      <x:c r="M41" s="10" t="str">
        <x:v>Acta de cumplimiento y conciliación</x:v>
      </x:c>
      <x:c r="N41" s="26" t="n">
        <x:f>COUNTIF('03_Inventario_2025'!$M$2:$M$189,B41)</x:f>
        <x:v>15</x:v>
      </x:c>
      <x:c r="O41" s="26" t="n">
        <x:f>IF(OR(D41="",E41=""),"",E41-D41+1)</x:f>
        <x:v>8</x:v>
      </x:c>
      <x:c r="P41" s="10" t="str"/>
    </x:row>
    <x:row r="42" ht="46" customHeight="1">
      <x:c r="A42" s="10" t="str">
        <x:v>PR-01</x:v>
      </x:c>
      <x:c r="B42" s="10" t="str">
        <x:v>F26-10-PR</x:v>
      </x:c>
      <x:c r="C42" s="10" t="str">
        <x:v>Preparación interna</x:v>
      </x:c>
      <x:c r="D42" s="25" t="n">
        <x:v>46262</x:v>
      </x:c>
      <x:c r="E42" s="25" t="n">
        <x:v>46269</x:v>
      </x:c>
      <x:c r="F42" s="10" t="str">
        <x:v>Alta</x:v>
      </x:c>
      <x:c r="G42" s="10" t="str">
        <x:v>Pendiente</x:v>
      </x:c>
      <x:c r="H42" s="10" t="str">
        <x:v>Crear narrativa de prensa, ficha factual, Q&amp;A y vocería</x:v>
      </x:c>
      <x:c r="I42" s="10" t="str">
        <x:v>Relaciones públicas — Are Morales</x:v>
      </x:c>
      <x:c r="J42" s="10" t="str">
        <x:v>Dirección + comunicación</x:v>
      </x:c>
      <x:c r="K42" s="10" t="str">
        <x:v>Vocero autorizado</x:v>
      </x:c>
      <x:c r="L42" s="10" t="str">
        <x:v>Datos confirmados y concepto aprobado</x:v>
      </x:c>
      <x:c r="M42" s="10" t="str">
        <x:v>Media kit versionado</x:v>
      </x:c>
      <x:c r="N42" s="26" t="n">
        <x:f>COUNTIF('03_Inventario_2025'!$M$2:$M$189,B42)</x:f>
        <x:v>20</x:v>
      </x:c>
      <x:c r="O42" s="26" t="n">
        <x:f>IF(OR(D42="",E42=""),"",E42-D42+1)</x:f>
        <x:v>8</x:v>
      </x:c>
      <x:c r="P42" s="10" t="str"/>
    </x:row>
    <x:row r="43" ht="46" customHeight="1">
      <x:c r="A43" s="10" t="str">
        <x:v>PR-02</x:v>
      </x:c>
      <x:c r="B43" s="10" t="str">
        <x:v>F26-10-PR</x:v>
      </x:c>
      <x:c r="C43" s="10" t="str">
        <x:v>Revelación y preventa</x:v>
      </x:c>
      <x:c r="D43" s="25" t="n">
        <x:v>46279</x:v>
      </x:c>
      <x:c r="E43" s="25" t="n">
        <x:v>46323</x:v>
      </x:c>
      <x:c r="F43" s="10" t="str">
        <x:v>Alta</x:v>
      </x:c>
      <x:c r="G43" s="10" t="str">
        <x:v>Pendiente</x:v>
      </x:c>
      <x:c r="H43" s="10" t="str">
        <x:v>Planificar giras, radios, medios digitales y rueda de prensa por hito</x:v>
      </x:c>
      <x:c r="I43" s="10" t="str">
        <x:v>Relaciones públicas — Are Morales</x:v>
      </x:c>
      <x:c r="J43" s="10" t="str">
        <x:v>Agencias + producción</x:v>
      </x:c>
      <x:c r="K43" s="10" t="str">
        <x:v>Dirección + vocero</x:v>
      </x:c>
      <x:c r="L43" s="10" t="str">
        <x:v>PR-01 + agenda confirmada</x:v>
      </x:c>
      <x:c r="M43" s="10" t="str">
        <x:v>Agenda, cobertura y enlaces por medio</x:v>
      </x:c>
      <x:c r="N43" s="26" t="n">
        <x:f>COUNTIF('03_Inventario_2025'!$M$2:$M$189,B43)</x:f>
        <x:v>20</x:v>
      </x:c>
      <x:c r="O43" s="26" t="n">
        <x:f>IF(OR(D43="",E43=""),"",E43-D43+1)</x:f>
        <x:v>45</x:v>
      </x:c>
      <x:c r="P43" s="10" t="str"/>
    </x:row>
    <x:row r="44" ht="46" customHeight="1">
      <x:c r="A44" s="10" t="str">
        <x:v>PR-03</x:v>
      </x:c>
      <x:c r="B44" s="10" t="str">
        <x:v>F26-10-PR</x:v>
      </x:c>
      <x:c r="C44" s="10" t="str">
        <x:v>Conversión</x:v>
      </x:c>
      <x:c r="D44" s="25" t="n">
        <x:v>46282</x:v>
      </x:c>
      <x:c r="E44" s="25" t="n">
        <x:v>46328</x:v>
      </x:c>
      <x:c r="F44" s="10" t="str">
        <x:v>Alta</x:v>
      </x:c>
      <x:c r="G44" s="10" t="str">
        <x:v>Pendiente</x:v>
      </x:c>
      <x:c r="H44" s="10" t="str">
        <x:v>Monitorear publicaciones y corregir información desactualizada</x:v>
      </x:c>
      <x:c r="I44" s="10" t="str">
        <x:v>Relaciones públicas — Are Morales</x:v>
      </x:c>
      <x:c r="J44" s="10" t="str">
        <x:v>Community manager</x:v>
      </x:c>
      <x:c r="K44" s="10" t="str">
        <x:v>Coordinación general</x:v>
      </x:c>
      <x:c r="L44" s="10" t="str">
        <x:v>Lista de medios y mensajes aprobados</x:v>
      </x:c>
      <x:c r="M44" s="10" t="str">
        <x:v>Matriz de cobertura, alcance y correcciones</x:v>
      </x:c>
      <x:c r="N44" s="26" t="n">
        <x:f>COUNTIF('03_Inventario_2025'!$M$2:$M$189,B44)</x:f>
        <x:v>20</x:v>
      </x:c>
      <x:c r="O44" s="26" t="n">
        <x:f>IF(OR(D44="",E44=""),"",E44-D44+1)</x:f>
        <x:v>47</x:v>
      </x:c>
      <x:c r="P44" s="10" t="str"/>
    </x:row>
    <x:row r="45" ht="46" customHeight="1">
      <x:c r="A45" s="10" t="str">
        <x:v>ACT-01</x:v>
      </x:c>
      <x:c r="B45" s="10" t="str">
        <x:v>F26-11-ACT</x:v>
      </x:c>
      <x:c r="C45" s="10" t="str">
        <x:v>Revelación y preventa</x:v>
      </x:c>
      <x:c r="D45" s="25" t="n">
        <x:v>46279</x:v>
      </x:c>
      <x:c r="E45" s="25" t="n">
        <x:v>46323</x:v>
      </x:c>
      <x:c r="F45" s="10" t="str">
        <x:v>Alta</x:v>
      </x:c>
      <x:c r="G45" s="10" t="str">
        <x:v>Pendiente</x:v>
      </x:c>
      <x:c r="H45" s="10" t="str">
        <x:v>Diseñar plan territorial en estadios, ferias, ciudades y comunidades</x:v>
      </x:c>
      <x:c r="I45" s="10" t="str">
        <x:v>Producción — Iván + comunicación</x:v>
      </x:c>
      <x:c r="J45" s="10" t="str">
        <x:v>Relaciones públicas + seguridad</x:v>
      </x:c>
      <x:c r="K45" s="10" t="str">
        <x:v>Coordinación general</x:v>
      </x:c>
      <x:c r="L45" s="10" t="str">
        <x:v>Permisos, rutas y segmentos</x:v>
      </x:c>
      <x:c r="M45" s="10" t="str">
        <x:v>Calendario, responsable y objetivo por activación</x:v>
      </x:c>
      <x:c r="N45" s="26" t="n">
        <x:f>COUNTIF('03_Inventario_2025'!$M$2:$M$189,B45)</x:f>
        <x:v>10</x:v>
      </x:c>
      <x:c r="O45" s="26" t="n">
        <x:f>IF(OR(D45="",E45=""),"",E45-D45+1)</x:f>
        <x:v>45</x:v>
      </x:c>
      <x:c r="P45" s="10" t="str"/>
    </x:row>
    <x:row r="46" ht="46" customHeight="1">
      <x:c r="A46" s="10" t="str">
        <x:v>ACT-02</x:v>
      </x:c>
      <x:c r="B46" s="10" t="str">
        <x:v>F26-11-ACT</x:v>
      </x:c>
      <x:c r="C46" s="10" t="str">
        <x:v>Conversión</x:v>
      </x:c>
      <x:c r="D46" s="25" t="n">
        <x:v>46300</x:v>
      </x:c>
      <x:c r="E46" s="25" t="n">
        <x:v>46323</x:v>
      </x:c>
      <x:c r="F46" s="10" t="str">
        <x:v>Alta</x:v>
      </x:c>
      <x:c r="G46" s="10" t="str">
        <x:v>Pendiente</x:v>
      </x:c>
      <x:c r="H46" s="10" t="str">
        <x:v>Producir kit de activación: audio, lona, volante, QR y guion</x:v>
      </x:c>
      <x:c r="I46" s="10" t="str">
        <x:v>Coordinación diseño/audiovisual</x:v>
      </x:c>
      <x:c r="J46" s="10" t="str">
        <x:v>Producción + comunicación</x:v>
      </x:c>
      <x:c r="K46" s="10" t="str">
        <x:v>Dirección de marketing</x:v>
      </x:c>
      <x:c r="L46" s="10" t="str">
        <x:v>ACT-01 + oferta vigente</x:v>
      </x:c>
      <x:c r="M46" s="10" t="str">
        <x:v>Kit probado y control de versiones</x:v>
      </x:c>
      <x:c r="N46" s="26" t="n">
        <x:f>COUNTIF('03_Inventario_2025'!$M$2:$M$189,B46)</x:f>
        <x:v>10</x:v>
      </x:c>
      <x:c r="O46" s="26" t="n">
        <x:f>IF(OR(D46="",E46=""),"",E46-D46+1)</x:f>
        <x:v>24</x:v>
      </x:c>
      <x:c r="P46" s="10" t="str"/>
    </x:row>
    <x:row r="47" ht="46" customHeight="1">
      <x:c r="A47" s="10" t="str">
        <x:v>ACT-03</x:v>
      </x:c>
      <x:c r="B47" s="10" t="str">
        <x:v>F26-11-ACT</x:v>
      </x:c>
      <x:c r="C47" s="10" t="str">
        <x:v>Conversión</x:v>
      </x:c>
      <x:c r="D47" s="25" t="n">
        <x:v>46300</x:v>
      </x:c>
      <x:c r="E47" s="25" t="n">
        <x:v>46328</x:v>
      </x:c>
      <x:c r="F47" s="10" t="str">
        <x:v>Alta</x:v>
      </x:c>
      <x:c r="G47" s="10" t="str">
        <x:v>Pendiente</x:v>
      </x:c>
      <x:c r="H47" s="10" t="str">
        <x:v>Medir activaciones con QR, código o pregunta de origen</x:v>
      </x:c>
      <x:c r="I47" s="10" t="str">
        <x:v>Analítica/tracking</x:v>
      </x:c>
      <x:c r="J47" s="10" t="str">
        <x:v>Equipos de campo</x:v>
      </x:c>
      <x:c r="K47" s="10" t="str">
        <x:v>Dirección de marketing</x:v>
      </x:c>
      <x:c r="L47" s="10" t="str">
        <x:v>ACT-02</x:v>
      </x:c>
      <x:c r="M47" s="10" t="str">
        <x:v>Registro por plaza y reporte de conversión</x:v>
      </x:c>
      <x:c r="N47" s="26" t="n">
        <x:f>COUNTIF('03_Inventario_2025'!$M$2:$M$189,B47)</x:f>
        <x:v>10</x:v>
      </x:c>
      <x:c r="O47" s="26" t="n">
        <x:f>IF(OR(D47="",E47=""),"",E47-D47+1)</x:f>
        <x:v>29</x:v>
      </x:c>
      <x:c r="P47" s="10" t="str"/>
    </x:row>
    <x:row r="48" ht="46" customHeight="1">
      <x:c r="A48" s="10" t="str">
        <x:v>AV-01</x:v>
      </x:c>
      <x:c r="B48" s="10" t="str">
        <x:v>F26-12-AV</x:v>
      </x:c>
      <x:c r="C48" s="10" t="str">
        <x:v>Preparación interna</x:v>
      </x:c>
      <x:c r="D48" s="25" t="n">
        <x:v>46260</x:v>
      </x:c>
      <x:c r="E48" s="25" t="n">
        <x:v>46267</x:v>
      </x:c>
      <x:c r="F48" s="10" t="str">
        <x:v>Crítica</x:v>
      </x:c>
      <x:c r="G48" s="10" t="str">
        <x:v>Pendiente</x:v>
      </x:c>
      <x:c r="H48" s="10" t="str">
        <x:v>Catalogar banco audiovisual y derechos de uso publicitario</x:v>
      </x:c>
      <x:c r="I48" s="10" t="str">
        <x:v>Coordinación diseño/audiovisual</x:v>
      </x:c>
      <x:c r="J48" s="10" t="str">
        <x:v>Archivo + comunicación</x:v>
      </x:c>
      <x:c r="K48" s="10" t="str">
        <x:v>Dirección de marketing</x:v>
      </x:c>
      <x:c r="L48" s="10" t="str">
        <x:v>Acceso y permisos</x:v>
      </x:c>
      <x:c r="M48" s="10" t="str">
        <x:v>Inventario con año, formato, derechos y calidad</x:v>
      </x:c>
      <x:c r="N48" s="26" t="n">
        <x:f>COUNTIF('03_Inventario_2025'!$M$2:$M$189,B48)</x:f>
        <x:v>12</x:v>
      </x:c>
      <x:c r="O48" s="26" t="n">
        <x:f>IF(OR(D48="",E48=""),"",E48-D48+1)</x:f>
        <x:v>8</x:v>
      </x:c>
      <x:c r="P48" s="10" t="str"/>
    </x:row>
    <x:row r="49" ht="46" customHeight="1">
      <x:c r="A49" s="10" t="str">
        <x:v>AV-02</x:v>
      </x:c>
      <x:c r="B49" s="10" t="str">
        <x:v>F26-12-AV</x:v>
      </x:c>
      <x:c r="C49" s="10" t="str">
        <x:v>Expectativa</x:v>
      </x:c>
      <x:c r="D49" s="25" t="n">
        <x:v>46263</x:v>
      </x:c>
      <x:c r="E49" s="25" t="n">
        <x:v>46276</x:v>
      </x:c>
      <x:c r="F49" s="10" t="str">
        <x:v>Crítica</x:v>
      </x:c>
      <x:c r="G49" s="10" t="str">
        <x:v>Pendiente</x:v>
      </x:c>
      <x:c r="H49" s="10" t="str">
        <x:v>Producir película hero Nos llama y versiones cortas</x:v>
      </x:c>
      <x:c r="I49" s="10" t="str">
        <x:v>Coordinación diseño/audiovisual</x:v>
      </x:c>
      <x:c r="J49" s="10" t="str">
        <x:v>Producción + comunicación</x:v>
      </x:c>
      <x:c r="K49" s="10" t="str">
        <x:v>Dirección + aprobación cultural</x:v>
      </x:c>
      <x:c r="L49" s="10" t="str">
        <x:v>MAR-04 + AV-01</x:v>
      </x:c>
      <x:c r="M49" s="10" t="str">
        <x:v>Master, cortes, subtítulos, audio y derechos</x:v>
      </x:c>
      <x:c r="N49" s="26" t="n">
        <x:f>COUNTIF('03_Inventario_2025'!$M$2:$M$189,B49)</x:f>
        <x:v>12</x:v>
      </x:c>
      <x:c r="O49" s="26" t="n">
        <x:f>IF(OR(D49="",E49=""),"",E49-D49+1)</x:f>
        <x:v>14</x:v>
      </x:c>
      <x:c r="P49" s="10" t="str"/>
    </x:row>
    <x:row r="50" ht="46" customHeight="1">
      <x:c r="A50" s="10" t="str">
        <x:v>AV-03</x:v>
      </x:c>
      <x:c r="B50" s="10" t="str">
        <x:v>F26-12-AV</x:v>
      </x:c>
      <x:c r="C50" s="10" t="str">
        <x:v>Revelación y preventa</x:v>
      </x:c>
      <x:c r="D50" s="25" t="n">
        <x:v>46272</x:v>
      </x:c>
      <x:c r="E50" s="25" t="n">
        <x:v>46318</x:v>
      </x:c>
      <x:c r="F50" s="10" t="str">
        <x:v>Alta</x:v>
      </x:c>
      <x:c r="G50" s="10" t="str">
        <x:v>Pendiente</x:v>
      </x:c>
      <x:c r="H50" s="10" t="str">
        <x:v>Planificar entrevistas, rodajes y saludos con guion y scouting</x:v>
      </x:c>
      <x:c r="I50" s="10" t="str">
        <x:v>Coordinación diseño/audiovisual</x:v>
      </x:c>
      <x:c r="J50" s="10" t="str">
        <x:v>Producción + relaciones públicas</x:v>
      </x:c>
      <x:c r="K50" s="10" t="str">
        <x:v>Dirección de marketing</x:v>
      </x:c>
      <x:c r="L50" s="10" t="str">
        <x:v>Agenda y derechos confirmados</x:v>
      </x:c>
      <x:c r="M50" s="10" t="str">
        <x:v>Call sheet, guion y entregables por sesión</x:v>
      </x:c>
      <x:c r="N50" s="26" t="n">
        <x:f>COUNTIF('03_Inventario_2025'!$M$2:$M$189,B50)</x:f>
        <x:v>12</x:v>
      </x:c>
      <x:c r="O50" s="26" t="n">
        <x:f>IF(OR(D50="",E50=""),"",E50-D50+1)</x:f>
        <x:v>47</x:v>
      </x:c>
      <x:c r="P50" s="10" t="str"/>
    </x:row>
    <x:row r="51" ht="46" customHeight="1">
      <x:c r="A51" s="10" t="str">
        <x:v>AV-04</x:v>
      </x:c>
      <x:c r="B51" s="10" t="str">
        <x:v>F26-12-AV</x:v>
      </x:c>
      <x:c r="C51" s="10" t="str">
        <x:v>Preparación final</x:v>
      </x:c>
      <x:c r="D51" s="25" t="n">
        <x:v>46307</x:v>
      </x:c>
      <x:c r="E51" s="25" t="n">
        <x:v>46323</x:v>
      </x:c>
      <x:c r="F51" s="10" t="str">
        <x:v>Crítica</x:v>
      </x:c>
      <x:c r="G51" s="10" t="str">
        <x:v>Pendiente</x:v>
      </x:c>
      <x:c r="H51" s="10" t="str">
        <x:v>Cerrar runbook de streaming, cobertura, respaldo y conectividad</x:v>
      </x:c>
      <x:c r="I51" s="10" t="str">
        <x:v>Producción — Iván + Leo Sailema</x:v>
      </x:c>
      <x:c r="J51" s="10" t="str">
        <x:v>Audiovisual + tecnología</x:v>
      </x:c>
      <x:c r="K51" s="10" t="str">
        <x:v>Coordinación general</x:v>
      </x:c>
      <x:c r="L51" s="10" t="str">
        <x:v>Plano, horarios, energía e internet</x:v>
      </x:c>
      <x:c r="M51" s="10" t="str">
        <x:v>Prueba técnica y plan de contingencia</x:v>
      </x:c>
      <x:c r="N51" s="26" t="n">
        <x:f>COUNTIF('03_Inventario_2025'!$M$2:$M$189,B51)</x:f>
        <x:v>12</x:v>
      </x:c>
      <x:c r="O51" s="26" t="n">
        <x:f>IF(OR(D51="",E51=""),"",E51-D51+1)</x:f>
        <x:v>17</x:v>
      </x:c>
      <x:c r="P51" s="10" t="str"/>
    </x:row>
    <x:row r="52" ht="46" customHeight="1">
      <x:c r="A52" s="10" t="str">
        <x:v>SER-01</x:v>
      </x:c>
      <x:c r="B52" s="10" t="str">
        <x:v>F26-13-SERV</x:v>
      </x:c>
      <x:c r="C52" s="10" t="str">
        <x:v>Preparación interna</x:v>
      </x:c>
      <x:c r="D52" s="25" t="n">
        <x:v>46260</x:v>
      </x:c>
      <x:c r="E52" s="25" t="n">
        <x:v>46267</x:v>
      </x:c>
      <x:c r="F52" s="10" t="str">
        <x:v>Crítica</x:v>
      </x:c>
      <x:c r="G52" s="10" t="str">
        <x:v>Bloqueada por gate</x:v>
      </x:c>
      <x:c r="H52" s="10" t="str">
        <x:v>Validar capacidad real de parqueaderos existentes y ampliados</x:v>
      </x:c>
      <x:c r="I52" s="10" t="str">
        <x:v>Operación/movilidad — por asignar</x:v>
      </x:c>
      <x:c r="J52" s="10" t="str">
        <x:v>Seguridad + producción</x:v>
      </x:c>
      <x:c r="K52" s="10" t="str">
        <x:v>Dirección + operación</x:v>
      </x:c>
      <x:c r="L52" s="10" t="str">
        <x:v>Plano y conteo técnico</x:v>
      </x:c>
      <x:c r="M52" s="10" t="str">
        <x:v>Capacidad, accesos, iluminación, seguridad y contingencia</x:v>
      </x:c>
      <x:c r="N52" s="26" t="n">
        <x:f>COUNTIF('03_Inventario_2025'!$M$2:$M$189,B52)</x:f>
        <x:v>6</x:v>
      </x:c>
      <x:c r="O52" s="26" t="n">
        <x:f>IF(OR(D52="",E52=""),"",E52-D52+1)</x:f>
        <x:v>8</x:v>
      </x:c>
      <x:c r="P52" s="10" t="str"/>
    </x:row>
    <x:row r="53" ht="46" customHeight="1">
      <x:c r="A53" s="10" t="str">
        <x:v>SER-02</x:v>
      </x:c>
      <x:c r="B53" s="10" t="str">
        <x:v>F26-13-SERV</x:v>
      </x:c>
      <x:c r="C53" s="10" t="str">
        <x:v>Preparación interna</x:v>
      </x:c>
      <x:c r="D53" s="25" t="n">
        <x:v>46261</x:v>
      </x:c>
      <x:c r="E53" s="25" t="n">
        <x:v>46272</x:v>
      </x:c>
      <x:c r="F53" s="10" t="str">
        <x:v>Crítica</x:v>
      </x:c>
      <x:c r="G53" s="10" t="str">
        <x:v>Pendiente</x:v>
      </x:c>
      <x:c r="H53" s="10" t="str">
        <x:v>Levantar inventario georreferenciado de baños, comida, escenarios, ayuda y accesos</x:v>
      </x:c>
      <x:c r="I53" s="10" t="str">
        <x:v>Operación + tecnología</x:v>
      </x:c>
      <x:c r="J53" s="10" t="str">
        <x:v>Servicio + producción</x:v>
      </x:c>
      <x:c r="K53" s="10" t="str">
        <x:v>Operación</x:v>
      </x:c>
      <x:c r="L53" s="10" t="str">
        <x:v>Plano vigente</x:v>
      </x:c>
      <x:c r="M53" s="10" t="str">
        <x:v>Inventario con coordenadas, horarios y responsable</x:v>
      </x:c>
      <x:c r="N53" s="26" t="n">
        <x:f>COUNTIF('03_Inventario_2025'!$M$2:$M$189,B53)</x:f>
        <x:v>6</x:v>
      </x:c>
      <x:c r="O53" s="26" t="n">
        <x:f>IF(OR(D53="",E53=""),"",E53-D53+1)</x:f>
        <x:v>12</x:v>
      </x:c>
      <x:c r="P53" s="10" t="str"/>
    </x:row>
    <x:row r="54" ht="46" customHeight="1">
      <x:c r="A54" s="10" t="str">
        <x:v>SER-03</x:v>
      </x:c>
      <x:c r="B54" s="10" t="str">
        <x:v>F26-13-SERV</x:v>
      </x:c>
      <x:c r="C54" s="10" t="str">
        <x:v>Revelación y preventa</x:v>
      </x:c>
      <x:c r="D54" s="25" t="n">
        <x:v>46272</x:v>
      </x:c>
      <x:c r="E54" s="25" t="n">
        <x:v>46304</x:v>
      </x:c>
      <x:c r="F54" s="10" t="str">
        <x:v>Alta</x:v>
      </x:c>
      <x:c r="G54" s="10" t="str">
        <x:v>Pendiente</x:v>
      </x:c>
      <x:c r="H54" s="10" t="str">
        <x:v>Construir PWA informativa estática, offline y sin cuentas ni pagos</x:v>
      </x:c>
      <x:c r="I54" s="10" t="str">
        <x:v>Tecnología — por asignar</x:v>
      </x:c>
      <x:c r="J54" s="10" t="str">
        <x:v>Diseño + operación + servicio</x:v>
      </x:c>
      <x:c r="K54" s="10" t="str">
        <x:v>Dirección + operación</x:v>
      </x:c>
      <x:c r="L54" s="10" t="str">
        <x:v>SER-02 + fuente de programación</x:v>
      </x:c>
      <x:c r="M54" s="10" t="str">
        <x:v>PWA probada en móviles y plan de actualización</x:v>
      </x:c>
      <x:c r="N54" s="26" t="n">
        <x:f>COUNTIF('03_Inventario_2025'!$M$2:$M$189,B54)</x:f>
        <x:v>6</x:v>
      </x:c>
      <x:c r="O54" s="26" t="n">
        <x:f>IF(OR(D54="",E54=""),"",E54-D54+1)</x:f>
        <x:v>33</x:v>
      </x:c>
      <x:c r="P54" s="10" t="str"/>
    </x:row>
    <x:row r="55" ht="46" customHeight="1">
      <x:c r="A55" s="10" t="str">
        <x:v>SER-04</x:v>
      </x:c>
      <x:c r="B55" s="10" t="str">
        <x:v>F26-13-SERV</x:v>
      </x:c>
      <x:c r="C55" s="10" t="str">
        <x:v>Conversión</x:v>
      </x:c>
      <x:c r="D55" s="25" t="n">
        <x:v>46300</x:v>
      </x:c>
      <x:c r="E55" s="25" t="n">
        <x:v>46323</x:v>
      </x:c>
      <x:c r="F55" s="10" t="str">
        <x:v>Crítica</x:v>
      </x:c>
      <x:c r="G55" s="10" t="str">
        <x:v>Pendiente</x:v>
      </x:c>
      <x:c r="H55" s="10" t="str">
        <x:v>Publicar mapa, parqueaderos, transporte, accesos, pagos, reglas y FAQ</x:v>
      </x:c>
      <x:c r="I55" s="10" t="str">
        <x:v>Coordinación comunicación</x:v>
      </x:c>
      <x:c r="J55" s="10" t="str">
        <x:v>Operación + seguridad + servicio</x:v>
      </x:c>
      <x:c r="K55" s="10" t="str">
        <x:v>Operación</x:v>
      </x:c>
      <x:c r="L55" s="10" t="str">
        <x:v>SER-01 + SER-02</x:v>
      </x:c>
      <x:c r="M55" s="10" t="str">
        <x:v>Piezas aprobadas con hora de corte</x:v>
      </x:c>
      <x:c r="N55" s="26" t="n">
        <x:f>COUNTIF('03_Inventario_2025'!$M$2:$M$189,B55)</x:f>
        <x:v>6</x:v>
      </x:c>
      <x:c r="O55" s="26" t="n">
        <x:f>IF(OR(D55="",E55=""),"",E55-D55+1)</x:f>
        <x:v>24</x:v>
      </x:c>
      <x:c r="P55" s="10" t="str"/>
    </x:row>
    <x:row r="56" ht="46" customHeight="1">
      <x:c r="A56" s="10" t="str">
        <x:v>SER-05</x:v>
      </x:c>
      <x:c r="B56" s="10" t="str">
        <x:v>F26-13-SERV</x:v>
      </x:c>
      <x:c r="C56" s="10" t="str">
        <x:v>En vivo</x:v>
      </x:c>
      <x:c r="D56" s="25" t="n">
        <x:v>46324</x:v>
      </x:c>
      <x:c r="E56" s="25" t="n">
        <x:v>46328</x:v>
      </x:c>
      <x:c r="F56" s="10" t="str">
        <x:v>Crítica</x:v>
      </x:c>
      <x:c r="G56" s="10" t="str">
        <x:v>Pendiente</x:v>
      </x:c>
      <x:c r="H56" s="10" t="str">
        <x:v>Operar mesa de información y protocolo de respuestas/escalamiento</x:v>
      </x:c>
      <x:c r="I56" s="10" t="str">
        <x:v>Servicio + community manager</x:v>
      </x:c>
      <x:c r="J56" s="10" t="str">
        <x:v>Operación + seguridad</x:v>
      </x:c>
      <x:c r="K56" s="10" t="str">
        <x:v>Coordinación general</x:v>
      </x:c>
      <x:c r="L56" s="10" t="str">
        <x:v>Turnos y base de conocimiento</x:v>
      </x:c>
      <x:c r="M56" s="10" t="str">
        <x:v>SLA, incidencias y respuestas registradas</x:v>
      </x:c>
      <x:c r="N56" s="26" t="n">
        <x:f>COUNTIF('03_Inventario_2025'!$M$2:$M$189,B56)</x:f>
        <x:v>6</x:v>
      </x:c>
      <x:c r="O56" s="26" t="n">
        <x:f>IF(OR(D56="",E56=""),"",E56-D56+1)</x:f>
        <x:v>5</x:v>
      </x:c>
      <x:c r="P56" s="10" t="str"/>
    </x:row>
    <x:row r="57" ht="46" customHeight="1">
      <x:c r="A57" s="10" t="str">
        <x:v>OPS-01</x:v>
      </x:c>
      <x:c r="B57" s="10" t="str">
        <x:v>F26-14-OPS</x:v>
      </x:c>
      <x:c r="C57" s="10" t="str">
        <x:v>Preparación final</x:v>
      </x:c>
      <x:c r="D57" s="25" t="n">
        <x:v>46300</x:v>
      </x:c>
      <x:c r="E57" s="25" t="n">
        <x:v>46311</x:v>
      </x:c>
      <x:c r="F57" s="10" t="str">
        <x:v>Alta</x:v>
      </x:c>
      <x:c r="G57" s="10" t="str">
        <x:v>Pendiente</x:v>
      </x:c>
      <x:c r="H57" s="10" t="str">
        <x:v>Cerrar inventario de gafetes, cortesías, señalética, vallas y numeración</x:v>
      </x:c>
      <x:c r="I57" s="10" t="str">
        <x:v>Producción — Iván + Leo Sailema</x:v>
      </x:c>
      <x:c r="J57" s="10" t="str">
        <x:v>Diseño + seguridad</x:v>
      </x:c>
      <x:c r="K57" s="10" t="str">
        <x:v>Coordinación general</x:v>
      </x:c>
      <x:c r="L57" s="10" t="str">
        <x:v>Plano, categorías y cantidades</x:v>
      </x:c>
      <x:c r="M57" s="10" t="str">
        <x:v>Orden de producción y prueba física</x:v>
      </x:c>
      <x:c r="N57" s="26" t="n">
        <x:f>COUNTIF('03_Inventario_2025'!$M$2:$M$189,B57)</x:f>
        <x:v>12</x:v>
      </x:c>
      <x:c r="O57" s="26" t="n">
        <x:f>IF(OR(D57="",E57=""),"",E57-D57+1)</x:f>
        <x:v>12</x:v>
      </x:c>
      <x:c r="P57" s="10" t="str"/>
    </x:row>
    <x:row r="58" ht="46" customHeight="1">
      <x:c r="A58" s="10" t="str">
        <x:v>OPS-02</x:v>
      </x:c>
      <x:c r="B58" s="10" t="str">
        <x:v>F26-14-OPS</x:v>
      </x:c>
      <x:c r="C58" s="10" t="str">
        <x:v>Preparación final</x:v>
      </x:c>
      <x:c r="D58" s="25" t="n">
        <x:v>46307</x:v>
      </x:c>
      <x:c r="E58" s="25" t="n">
        <x:v>46318</x:v>
      </x:c>
      <x:c r="F58" s="10" t="str">
        <x:v>Alta</x:v>
      </x:c>
      <x:c r="G58" s="10" t="str">
        <x:v>Pendiente</x:v>
      </x:c>
      <x:c r="H58" s="10" t="str">
        <x:v>Diseñar y probar contenidos de pantallas, tótems y overlays</x:v>
      </x:c>
      <x:c r="I58" s="10" t="str">
        <x:v>Coordinación diseño/audiovisual</x:v>
      </x:c>
      <x:c r="J58" s="10" t="str">
        <x:v>Producción + auspiciantes</x:v>
      </x:c>
      <x:c r="K58" s="10" t="str">
        <x:v>Coordinación general</x:v>
      </x:c>
      <x:c r="L58" s="10" t="str">
        <x:v>Programación y formatos técnicos</x:v>
      </x:c>
      <x:c r="M58" s="10" t="str">
        <x:v>Matriz de playback y prueba en equipos reales</x:v>
      </x:c>
      <x:c r="N58" s="26" t="n">
        <x:f>COUNTIF('03_Inventario_2025'!$M$2:$M$189,B58)</x:f>
        <x:v>12</x:v>
      </x:c>
      <x:c r="O58" s="26" t="n">
        <x:f>IF(OR(D58="",E58=""),"",E58-D58+1)</x:f>
        <x:v>12</x:v>
      </x:c>
      <x:c r="P58" s="10" t="str"/>
    </x:row>
    <x:row r="59" ht="46" customHeight="1">
      <x:c r="A59" s="10" t="str">
        <x:v>OPS-03</x:v>
      </x:c>
      <x:c r="B59" s="10" t="str">
        <x:v>F26-14-OPS</x:v>
      </x:c>
      <x:c r="C59" s="10" t="str">
        <x:v>Preparación final</x:v>
      </x:c>
      <x:c r="D59" s="25" t="n">
        <x:v>46314</x:v>
      </x:c>
      <x:c r="E59" s="25" t="n">
        <x:v>46322</x:v>
      </x:c>
      <x:c r="F59" s="10" t="str">
        <x:v>Crítica</x:v>
      </x:c>
      <x:c r="G59" s="10" t="str">
        <x:v>Pendiente</x:v>
      </x:c>
      <x:c r="H59" s="10" t="str">
        <x:v>Montar sala de trabajo de marketing con energía, internet y respaldo</x:v>
      </x:c>
      <x:c r="I59" s="10" t="str">
        <x:v>Producción — Iván + Leo Sailema</x:v>
      </x:c>
      <x:c r="J59" s="10" t="str">
        <x:v>Tecnología + coordinación</x:v>
      </x:c>
      <x:c r="K59" s="10" t="str">
        <x:v>Operación</x:v>
      </x:c>
      <x:c r="L59" s="10" t="str">
        <x:v>Espacio, seguridad y conectividad</x:v>
      </x:c>
      <x:c r="M59" s="10" t="str">
        <x:v>Checklist de apertura y prueba</x:v>
      </x:c>
      <x:c r="N59" s="26" t="n">
        <x:f>COUNTIF('03_Inventario_2025'!$M$2:$M$189,B59)</x:f>
        <x:v>12</x:v>
      </x:c>
      <x:c r="O59" s="26" t="n">
        <x:f>IF(OR(D59="",E59=""),"",E59-D59+1)</x:f>
        <x:v>9</x:v>
      </x:c>
      <x:c r="P59" s="10" t="str"/>
    </x:row>
    <x:row r="60" ht="46" customHeight="1">
      <x:c r="A60" s="10" t="str">
        <x:v>OPS-04</x:v>
      </x:c>
      <x:c r="B60" s="10" t="str">
        <x:v>F26-14-OPS</x:v>
      </x:c>
      <x:c r="C60" s="10" t="str">
        <x:v>Preparación final</x:v>
      </x:c>
      <x:c r="D60" s="25" t="n">
        <x:v>46321</x:v>
      </x:c>
      <x:c r="E60" s="25" t="n">
        <x:v>46323</x:v>
      </x:c>
      <x:c r="F60" s="10" t="str">
        <x:v>Crítica</x:v>
      </x:c>
      <x:c r="G60" s="10" t="str">
        <x:v>Pendiente</x:v>
      </x:c>
      <x:c r="H60" s="10" t="str">
        <x:v>Realizar recorrido conjunto y corregir señalización/ubicaciones</x:v>
      </x:c>
      <x:c r="I60" s="10" t="str">
        <x:v>Producción + operación</x:v>
      </x:c>
      <x:c r="J60" s="10" t="str">
        <x:v>Servicio + seguridad + comunicación</x:v>
      </x:c>
      <x:c r="K60" s="10" t="str">
        <x:v>Coordinación general</x:v>
      </x:c>
      <x:c r="L60" s="10" t="str">
        <x:v>OPS-01 + SER-02</x:v>
      </x:c>
      <x:c r="M60" s="10" t="str">
        <x:v>Acta fotográfica de correcciones cerradas</x:v>
      </x:c>
      <x:c r="N60" s="26" t="n">
        <x:f>COUNTIF('03_Inventario_2025'!$M$2:$M$189,B60)</x:f>
        <x:v>12</x:v>
      </x:c>
      <x:c r="O60" s="26" t="n">
        <x:f>IF(OR(D60="",E60=""),"",E60-D60+1)</x:f>
        <x:v>3</x:v>
      </x:c>
      <x:c r="P60" s="10" t="str"/>
    </x:row>
    <x:row r="61" ht="46" customHeight="1">
      <x:c r="A61" s="10" t="str">
        <x:v>PAU-01</x:v>
      </x:c>
      <x:c r="B61" s="10" t="str">
        <x:v>F26-15-PAID</x:v>
      </x:c>
      <x:c r="C61" s="10" t="str">
        <x:v>Preparación interna</x:v>
      </x:c>
      <x:c r="D61" s="25" t="n">
        <x:v>46260</x:v>
      </x:c>
      <x:c r="E61" s="25" t="n">
        <x:v>46267</x:v>
      </x:c>
      <x:c r="F61" s="10" t="str">
        <x:v>Crítica</x:v>
      </x:c>
      <x:c r="G61" s="10" t="str">
        <x:v>Bloqueada por gate</x:v>
      </x:c>
      <x:c r="H61" s="10" t="str">
        <x:v>Auditar destino, píxel/eventos, UTMs y conciliación con ventas</x:v>
      </x:c>
      <x:c r="I61" s="10" t="str">
        <x:v>Analítica/tracking — vacante crítica</x:v>
      </x:c>
      <x:c r="J61" s="10" t="str">
        <x:v>Media buyer + tecnología + entradas</x:v>
      </x:c>
      <x:c r="K61" s="10" t="str">
        <x:v>Dirección de marketing</x:v>
      </x:c>
      <x:c r="L61" s="10" t="str">
        <x:v>Destino seguro y acceso autorizado</x:v>
      </x:c>
      <x:c r="M61" s="10" t="str">
        <x:v>Mapa de medición y compra de prueba</x:v>
      </x:c>
      <x:c r="N61" s="26" t="n">
        <x:f>COUNTIF('03_Inventario_2025'!$M$2:$M$189,B61)</x:f>
        <x:v>3</x:v>
      </x:c>
      <x:c r="O61" s="26" t="n">
        <x:f>IF(OR(D61="",E61=""),"",E61-D61+1)</x:f>
        <x:v>8</x:v>
      </x:c>
      <x:c r="P61" s="10" t="str"/>
    </x:row>
    <x:row r="62" ht="46" customHeight="1">
      <x:c r="A62" s="10" t="str">
        <x:v>PAU-02</x:v>
      </x:c>
      <x:c r="B62" s="10" t="str">
        <x:v>F26-15-PAID</x:v>
      </x:c>
      <x:c r="C62" s="10" t="str">
        <x:v>Expectativa</x:v>
      </x:c>
      <x:c r="D62" s="25" t="n">
        <x:v>46268</x:v>
      </x:c>
      <x:c r="E62" s="25" t="n">
        <x:v>46281</x:v>
      </x:c>
      <x:c r="F62" s="10" t="str">
        <x:v>Alta</x:v>
      </x:c>
      <x:c r="G62" s="10" t="str">
        <x:v>Pendiente</x:v>
      </x:c>
      <x:c r="H62" s="10" t="str">
        <x:v>Probar creatividades comparables de recuerdo, experiencia y utilidad</x:v>
      </x:c>
      <x:c r="I62" s="10" t="str">
        <x:v>Media buyer — vacante crítica</x:v>
      </x:c>
      <x:c r="J62" s="10" t="str">
        <x:v>Analítica + comunicación</x:v>
      </x:c>
      <x:c r="K62" s="10" t="str">
        <x:v>Dirección de marketing</x:v>
      </x:c>
      <x:c r="L62" s="10" t="str">
        <x:v>PAU-01 + CON-03</x:v>
      </x:c>
      <x:c r="M62" s="10" t="str">
        <x:v>Prueba con hipótesis, públicos y criterio de decisión</x:v>
      </x:c>
      <x:c r="N62" s="26" t="n">
        <x:f>COUNTIF('03_Inventario_2025'!$M$2:$M$189,B62)</x:f>
        <x:v>3</x:v>
      </x:c>
      <x:c r="O62" s="26" t="n">
        <x:f>IF(OR(D62="",E62=""),"",E62-D62+1)</x:f>
        <x:v>14</x:v>
      </x:c>
      <x:c r="P62" s="10" t="str"/>
    </x:row>
    <x:row r="63" ht="46" customHeight="1">
      <x:c r="A63" s="10" t="str">
        <x:v>PAU-03</x:v>
      </x:c>
      <x:c r="B63" s="10" t="str">
        <x:v>F26-15-PAID</x:v>
      </x:c>
      <x:c r="C63" s="10" t="str">
        <x:v>Revelación y preventa</x:v>
      </x:c>
      <x:c r="D63" s="25" t="n">
        <x:v>46282</x:v>
      </x:c>
      <x:c r="E63" s="25" t="n">
        <x:v>46299</x:v>
      </x:c>
      <x:c r="F63" s="10" t="str">
        <x:v>Crítica</x:v>
      </x:c>
      <x:c r="G63" s="10" t="str">
        <x:v>Pendiente</x:v>
      </x:c>
      <x:c r="H63" s="10" t="str">
        <x:v>Activar conversión a preventa sin fragmentar campañas</x:v>
      </x:c>
      <x:c r="I63" s="10" t="str">
        <x:v>Media buyer</x:v>
      </x:c>
      <x:c r="J63" s="10" t="str">
        <x:v>Entradas + comunicación + datos</x:v>
      </x:c>
      <x:c r="K63" s="10" t="str">
        <x:v>Dirección de marketing</x:v>
      </x:c>
      <x:c r="L63" s="10" t="str">
        <x:v>ENT-03 + PAU-01</x:v>
      </x:c>
      <x:c r="M63" s="10" t="str">
        <x:v>Campaña, nomenclatura, presupuesto y ventas conciliadas</x:v>
      </x:c>
      <x:c r="N63" s="26" t="n">
        <x:f>COUNTIF('03_Inventario_2025'!$M$2:$M$189,B63)</x:f>
        <x:v>3</x:v>
      </x:c>
      <x:c r="O63" s="26" t="n">
        <x:f>IF(OR(D63="",E63=""),"",E63-D63+1)</x:f>
        <x:v>18</x:v>
      </x:c>
      <x:c r="P63" s="10" t="str"/>
    </x:row>
    <x:row r="64" ht="46" customHeight="1">
      <x:c r="A64" s="10" t="str">
        <x:v>PAU-04</x:v>
      </x:c>
      <x:c r="B64" s="10" t="str">
        <x:v>F26-15-PAID</x:v>
      </x:c>
      <x:c r="C64" s="10" t="str">
        <x:v>Conversión</x:v>
      </x:c>
      <x:c r="D64" s="25" t="n">
        <x:v>46300</x:v>
      </x:c>
      <x:c r="E64" s="25" t="n">
        <x:v>46323</x:v>
      </x:c>
      <x:c r="F64" s="10" t="str">
        <x:v>Crítica</x:v>
      </x:c>
      <x:c r="G64" s="10" t="str">
        <x:v>Pendiente</x:v>
      </x:c>
      <x:c r="H64" s="10" t="str">
        <x:v>Optimizar los USD 4.000 de pauta social según venta y calidad</x:v>
      </x:c>
      <x:c r="I64" s="10" t="str">
        <x:v>Media buyer</x:v>
      </x:c>
      <x:c r="J64" s="10" t="str">
        <x:v>Analítica + finanzas</x:v>
      </x:c>
      <x:c r="K64" s="10" t="str">
        <x:v>Dirección de marketing</x:v>
      </x:c>
      <x:c r="L64" s="10" t="str">
        <x:v>Reporte diario de gasto y resultados</x:v>
      </x:c>
      <x:c r="M64" s="10" t="str">
        <x:v>Bitácora de cambios; sin superar presupuesto aprobado</x:v>
      </x:c>
      <x:c r="N64" s="26" t="n">
        <x:f>COUNTIF('03_Inventario_2025'!$M$2:$M$189,B64)</x:f>
        <x:v>3</x:v>
      </x:c>
      <x:c r="O64" s="26" t="n">
        <x:f>IF(OR(D64="",E64=""),"",E64-D64+1)</x:f>
        <x:v>24</x:v>
      </x:c>
      <x:c r="P64" s="10" t="str"/>
    </x:row>
    <x:row r="65" ht="46" customHeight="1">
      <x:c r="A65" s="10" t="str">
        <x:v>PAU-05</x:v>
      </x:c>
      <x:c r="B65" s="10" t="str">
        <x:v>F26-15-PAID</x:v>
      </x:c>
      <x:c r="C65" s="10" t="str">
        <x:v>En vivo</x:v>
      </x:c>
      <x:c r="D65" s="25" t="n">
        <x:v>46324</x:v>
      </x:c>
      <x:c r="E65" s="25" t="n">
        <x:v>46328</x:v>
      </x:c>
      <x:c r="F65" s="10" t="str">
        <x:v>Alta</x:v>
      </x:c>
      <x:c r="G65" s="10" t="str">
        <x:v>Pendiente</x:v>
      </x:c>
      <x:c r="H65" s="10" t="str">
        <x:v>Reservar pauta mínima para servicio y redistribución de flujo</x:v>
      </x:c>
      <x:c r="I65" s="10" t="str">
        <x:v>Media buyer</x:v>
      </x:c>
      <x:c r="J65" s="10" t="str">
        <x:v>Operación + comunicación</x:v>
      </x:c>
      <x:c r="K65" s="10" t="str">
        <x:v>Dirección de marketing</x:v>
      </x:c>
      <x:c r="L65" s="10" t="str">
        <x:v>Información operativa confirmada</x:v>
      </x:c>
      <x:c r="M65" s="10" t="str">
        <x:v>Piezas de servicio y gasto documentados</x:v>
      </x:c>
      <x:c r="N65" s="26" t="n">
        <x:f>COUNTIF('03_Inventario_2025'!$M$2:$M$189,B65)</x:f>
        <x:v>3</x:v>
      </x:c>
      <x:c r="O65" s="26" t="n">
        <x:f>IF(OR(D65="",E65=""),"",E65-D65+1)</x:f>
        <x:v>5</x:v>
      </x:c>
      <x:c r="P65" s="10" t="str"/>
    </x:row>
    <x:row r="66" ht="46" customHeight="1">
      <x:c r="A66" s="10" t="str">
        <x:v>VIV-01</x:v>
      </x:c>
      <x:c r="B66" s="10" t="str">
        <x:v>F26-16-LIVE</x:v>
      </x:c>
      <x:c r="C66" s="10" t="str">
        <x:v>Preparación final</x:v>
      </x:c>
      <x:c r="D66" s="25" t="n">
        <x:v>46314</x:v>
      </x:c>
      <x:c r="E66" s="25" t="n">
        <x:v>46322</x:v>
      </x:c>
      <x:c r="F66" s="10" t="str">
        <x:v>Crítica</x:v>
      </x:c>
      <x:c r="G66" s="10" t="str">
        <x:v>Pendiente</x:v>
      </x:c>
      <x:c r="H66" s="10" t="str">
        <x:v>Definir turnos de cobertura, community, aprobación y respaldo por día</x:v>
      </x:c>
      <x:c r="I66" s="10" t="str">
        <x:v>Coordinación general de marketing</x:v>
      </x:c>
      <x:c r="J66" s="10" t="str">
        <x:v>Comunicación + audiovisual + producción</x:v>
      </x:c>
      <x:c r="K66" s="10" t="str">
        <x:v>Dirección de marketing</x:v>
      </x:c>
      <x:c r="L66" s="10" t="str">
        <x:v>RACI + programación final</x:v>
      </x:c>
      <x:c r="M66" s="10" t="str">
        <x:v>Plan de turnos con suplentes y contactos internos</x:v>
      </x:c>
      <x:c r="N66" s="26" t="n">
        <x:f>COUNTIF('03_Inventario_2025'!$M$2:$M$189,B66)</x:f>
        <x:v>2</x:v>
      </x:c>
      <x:c r="O66" s="26" t="n">
        <x:f>IF(OR(D66="",E66=""),"",E66-D66+1)</x:f>
        <x:v>9</x:v>
      </x:c>
      <x:c r="P66" s="10" t="str"/>
    </x:row>
    <x:row r="67" ht="46" customHeight="1">
      <x:c r="A67" s="10" t="str">
        <x:v>VIV-02</x:v>
      </x:c>
      <x:c r="B67" s="10" t="str">
        <x:v>F26-16-LIVE</x:v>
      </x:c>
      <x:c r="C67" s="10" t="str">
        <x:v>En vivo</x:v>
      </x:c>
      <x:c r="D67" s="25" t="n">
        <x:v>46324</x:v>
      </x:c>
      <x:c r="E67" s="25" t="n">
        <x:v>46328</x:v>
      </x:c>
      <x:c r="F67" s="10" t="str">
        <x:v>Crítica</x:v>
      </x:c>
      <x:c r="G67" s="10" t="str">
        <x:v>Pendiente</x:v>
      </x:c>
      <x:c r="H67" s="10" t="str">
        <x:v>Publicar portada y programación diaria después del corte operativo</x:v>
      </x:c>
      <x:c r="I67" s="10" t="str">
        <x:v>Coordinación comunicación</x:v>
      </x:c>
      <x:c r="J67" s="10" t="str">
        <x:v>Programación + diseño</x:v>
      </x:c>
      <x:c r="K67" s="10" t="str">
        <x:v>Programación</x:v>
      </x:c>
      <x:c r="L67" s="10" t="str">
        <x:v>Fuente vigente y hora de corte</x:v>
      </x:c>
      <x:c r="M67" s="10" t="str">
        <x:v>Versiones y cambios registrados</x:v>
      </x:c>
      <x:c r="N67" s="26" t="n">
        <x:f>COUNTIF('03_Inventario_2025'!$M$2:$M$189,B67)</x:f>
        <x:v>2</x:v>
      </x:c>
      <x:c r="O67" s="26" t="n">
        <x:f>IF(OR(D67="",E67=""),"",E67-D67+1)</x:f>
        <x:v>5</x:v>
      </x:c>
      <x:c r="P67" s="10" t="str"/>
    </x:row>
    <x:row r="68" ht="46" customHeight="1">
      <x:c r="A68" s="10" t="str">
        <x:v>VIV-03</x:v>
      </x:c>
      <x:c r="B68" s="10" t="str">
        <x:v>F26-16-LIVE</x:v>
      </x:c>
      <x:c r="C68" s="10" t="str">
        <x:v>En vivo</x:v>
      </x:c>
      <x:c r="D68" s="25" t="n">
        <x:v>46324</x:v>
      </x:c>
      <x:c r="E68" s="25" t="n">
        <x:v>46328</x:v>
      </x:c>
      <x:c r="F68" s="10" t="str">
        <x:v>Crítica</x:v>
      </x:c>
      <x:c r="G68" s="10" t="str">
        <x:v>Pendiente</x:v>
      </x:c>
      <x:c r="H68" s="10" t="str">
        <x:v>Cubrir experiencia, comercio, tradición y música sin abandonar servicio</x:v>
      </x:c>
      <x:c r="I68" s="10" t="str">
        <x:v>Coordinación comunicación</x:v>
      </x:c>
      <x:c r="J68" s="10" t="str">
        <x:v>Audiovisual + relaciones públicas</x:v>
      </x:c>
      <x:c r="K68" s="10" t="str">
        <x:v>Coordinación general</x:v>
      </x:c>
      <x:c r="L68" s="10" t="str">
        <x:v>VIV-01</x:v>
      </x:c>
      <x:c r="M68" s="10" t="str">
        <x:v>Cuotas editoriales por pilar y entregables diarios</x:v>
      </x:c>
      <x:c r="N68" s="26" t="n">
        <x:f>COUNTIF('03_Inventario_2025'!$M$2:$M$189,B68)</x:f>
        <x:v>2</x:v>
      </x:c>
      <x:c r="O68" s="26" t="n">
        <x:f>IF(OR(D68="",E68=""),"",E68-D68+1)</x:f>
        <x:v>5</x:v>
      </x:c>
      <x:c r="P68" s="10" t="str"/>
    </x:row>
    <x:row r="69" ht="46" customHeight="1">
      <x:c r="A69" s="10" t="str">
        <x:v>VIV-04</x:v>
      </x:c>
      <x:c r="B69" s="10" t="str">
        <x:v>F26-16-LIVE</x:v>
      </x:c>
      <x:c r="C69" s="10" t="str">
        <x:v>En vivo</x:v>
      </x:c>
      <x:c r="D69" s="25" t="n">
        <x:v>46324</x:v>
      </x:c>
      <x:c r="E69" s="25" t="n">
        <x:v>46328</x:v>
      </x:c>
      <x:c r="F69" s="10" t="str">
        <x:v>Crítica</x:v>
      </x:c>
      <x:c r="G69" s="10" t="str">
        <x:v>Pendiente</x:v>
      </x:c>
      <x:c r="H69" s="10" t="str">
        <x:v>Escalar incidentes y publicar correcciones desde fuente oficial</x:v>
      </x:c>
      <x:c r="I69" s="10" t="str">
        <x:v>Community manager + servicio</x:v>
      </x:c>
      <x:c r="J69" s="10" t="str">
        <x:v>Operación + seguridad</x:v>
      </x:c>
      <x:c r="K69" s="10" t="str">
        <x:v>Coordinación general</x:v>
      </x:c>
      <x:c r="L69" s="10" t="str">
        <x:v>Protocolo y responsables de guardia</x:v>
      </x:c>
      <x:c r="M69" s="10" t="str">
        <x:v>Log de incidentes, respuesta y resolución</x:v>
      </x:c>
      <x:c r="N69" s="26" t="n">
        <x:f>COUNTIF('03_Inventario_2025'!$M$2:$M$189,B69)</x:f>
        <x:v>2</x:v>
      </x:c>
      <x:c r="O69" s="26" t="n">
        <x:f>IF(OR(D69="",E69=""),"",E69-D69+1)</x:f>
        <x:v>5</x:v>
      </x:c>
      <x:c r="P69" s="10" t="str"/>
    </x:row>
    <x:row r="70" ht="46" customHeight="1">
      <x:c r="A70" s="10" t="str">
        <x:v>CIE-01</x:v>
      </x:c>
      <x:c r="B70" s="10" t="str">
        <x:v>F26-17-CLOSE</x:v>
      </x:c>
      <x:c r="C70" s="10" t="str">
        <x:v>Cierre</x:v>
      </x:c>
      <x:c r="D70" s="25" t="n">
        <x:v>46329</x:v>
      </x:c>
      <x:c r="E70" s="25" t="n">
        <x:v>46332</x:v>
      </x:c>
      <x:c r="F70" s="10" t="str">
        <x:v>Crítica</x:v>
      </x:c>
      <x:c r="G70" s="10" t="str">
        <x:v>Pendiente</x:v>
      </x:c>
      <x:c r="H70" s="10" t="str">
        <x:v>Conciliar gasto, impresiones, clics, conversaciones y ventas</x:v>
      </x:c>
      <x:c r="I70" s="10" t="str">
        <x:v>Analítica/tracking</x:v>
      </x:c>
      <x:c r="J70" s="10" t="str">
        <x:v>Media buyer + finanzas + entradas</x:v>
      </x:c>
      <x:c r="K70" s="10" t="str">
        <x:v>Dirección de marketing</x:v>
      </x:c>
      <x:c r="L70" s="10" t="str">
        <x:v>Exportes y facturación</x:v>
      </x:c>
      <x:c r="M70" s="10" t="str">
        <x:v>Reporte conciliado con definiciones</x:v>
      </x:c>
      <x:c r="N70" s="26" t="n">
        <x:f>COUNTIF('03_Inventario_2025'!$M$2:$M$189,B70)</x:f>
        <x:v>0</x:v>
      </x:c>
      <x:c r="O70" s="26" t="n">
        <x:f>IF(OR(D70="",E70=""),"",E70-D70+1)</x:f>
        <x:v>4</x:v>
      </x:c>
      <x:c r="P70" s="10" t="str"/>
    </x:row>
    <x:row r="71" ht="46" customHeight="1">
      <x:c r="A71" s="10" t="str">
        <x:v>CIE-02</x:v>
      </x:c>
      <x:c r="B71" s="10" t="str">
        <x:v>F26-17-CLOSE</x:v>
      </x:c>
      <x:c r="C71" s="10" t="str">
        <x:v>Cierre</x:v>
      </x:c>
      <x:c r="D71" s="25" t="n">
        <x:v>46329</x:v>
      </x:c>
      <x:c r="E71" s="25" t="n">
        <x:v>46336</x:v>
      </x:c>
      <x:c r="F71" s="10" t="str">
        <x:v>Crítica</x:v>
      </x:c>
      <x:c r="G71" s="10" t="str">
        <x:v>Pendiente</x:v>
      </x:c>
      <x:c r="H71" s="10" t="str">
        <x:v>Conciliar asistencia por día, accesos y personas únicas/visitas</x:v>
      </x:c>
      <x:c r="I71" s="10" t="str">
        <x:v>Operación + analítica</x:v>
      </x:c>
      <x:c r="J71" s="10" t="str">
        <x:v>Entradas + seguridad</x:v>
      </x:c>
      <x:c r="K71" s="10" t="str">
        <x:v>Dirección + finanzas</x:v>
      </x:c>
      <x:c r="L71" s="10" t="str">
        <x:v>Metodología de conteo</x:v>
      </x:c>
      <x:c r="M71" s="10" t="str">
        <x:v>Serie diaria y diferencia explicada</x:v>
      </x:c>
      <x:c r="N71" s="26" t="n">
        <x:f>COUNTIF('03_Inventario_2025'!$M$2:$M$189,B71)</x:f>
        <x:v>0</x:v>
      </x:c>
      <x:c r="O71" s="26" t="n">
        <x:f>IF(OR(D71="",E71=""),"",E71-D71+1)</x:f>
        <x:v>8</x:v>
      </x:c>
      <x:c r="P71" s="10" t="str"/>
    </x:row>
    <x:row r="72" ht="46" customHeight="1">
      <x:c r="A72" s="10" t="str">
        <x:v>CIE-03</x:v>
      </x:c>
      <x:c r="B72" s="10" t="str">
        <x:v>F26-17-CLOSE</x:v>
      </x:c>
      <x:c r="C72" s="10" t="str">
        <x:v>Cierre</x:v>
      </x:c>
      <x:c r="D72" s="25" t="n">
        <x:v>46329</x:v>
      </x:c>
      <x:c r="E72" s="25" t="n">
        <x:v>46336</x:v>
      </x:c>
      <x:c r="F72" s="10" t="str">
        <x:v>Alta</x:v>
      </x:c>
      <x:c r="G72" s="10" t="str">
        <x:v>Pendiente</x:v>
      </x:c>
      <x:c r="H72" s="10" t="str">
        <x:v>Levantar satisfacción, problemas y ventas por rangos de expositores</x:v>
      </x:c>
      <x:c r="I72" s="10" t="str">
        <x:v>Dueño de expositores</x:v>
      </x:c>
      <x:c r="J72" s="10" t="str">
        <x:v>Analítica + servicio</x:v>
      </x:c>
      <x:c r="K72" s="10" t="str">
        <x:v>Dirección/comercial</x:v>
      </x:c>
      <x:c r="L72" s="10" t="str">
        <x:v>Encuesta y muestra definidas</x:v>
      </x:c>
      <x:c r="M72" s="10" t="str">
        <x:v>Reporte sin prometer ni exponer ventas individuales</x:v>
      </x:c>
      <x:c r="N72" s="26" t="n">
        <x:f>COUNTIF('03_Inventario_2025'!$M$2:$M$189,B72)</x:f>
        <x:v>0</x:v>
      </x:c>
      <x:c r="O72" s="26" t="n">
        <x:f>IF(OR(D72="",E72=""),"",E72-D72+1)</x:f>
        <x:v>8</x:v>
      </x:c>
      <x:c r="P72" s="10" t="str"/>
    </x:row>
    <x:row r="73" ht="46" customHeight="1">
      <x:c r="A73" s="10" t="str">
        <x:v>CIE-04</x:v>
      </x:c>
      <x:c r="B73" s="10" t="str">
        <x:v>F26-17-CLOSE</x:v>
      </x:c>
      <x:c r="C73" s="10" t="str">
        <x:v>Cierre</x:v>
      </x:c>
      <x:c r="D73" s="25" t="n">
        <x:v>46329</x:v>
      </x:c>
      <x:c r="E73" s="25" t="n">
        <x:v>46338</x:v>
      </x:c>
      <x:c r="F73" s="10" t="str">
        <x:v>Alta</x:v>
      </x:c>
      <x:c r="G73" s="10" t="str">
        <x:v>Pendiente</x:v>
      </x:c>
      <x:c r="H73" s="10" t="str">
        <x:v>Analizar reputación, comentarios, incidencias y respuestas</x:v>
      </x:c>
      <x:c r="I73" s="10" t="str">
        <x:v>Relaciones públicas + community manager</x:v>
      </x:c>
      <x:c r="J73" s="10" t="str">
        <x:v>Analítica + servicio</x:v>
      </x:c>
      <x:c r="K73" s="10" t="str">
        <x:v>Dirección de marketing</x:v>
      </x:c>
      <x:c r="L73" s="10" t="str">
        <x:v>Exportes autorizados y protocolo de privacidad</x:v>
      </x:c>
      <x:c r="M73" s="10" t="str">
        <x:v>Temas, volumen, severidad y respuesta</x:v>
      </x:c>
      <x:c r="N73" s="26" t="n">
        <x:f>COUNTIF('03_Inventario_2025'!$M$2:$M$189,B73)</x:f>
        <x:v>0</x:v>
      </x:c>
      <x:c r="O73" s="26" t="n">
        <x:f>IF(OR(D73="",E73=""),"",E73-D73+1)</x:f>
        <x:v>10</x:v>
      </x:c>
      <x:c r="P73" s="10" t="str"/>
    </x:row>
    <x:row r="74" ht="46" customHeight="1">
      <x:c r="A74" s="10" t="str">
        <x:v>CIE-05</x:v>
      </x:c>
      <x:c r="B74" s="10" t="str">
        <x:v>F26-17-CLOSE</x:v>
      </x:c>
      <x:c r="C74" s="10" t="str">
        <x:v>Cierre</x:v>
      </x:c>
      <x:c r="D74" s="25" t="n">
        <x:v>46337</x:v>
      </x:c>
      <x:c r="E74" s="25" t="n">
        <x:v>46342</x:v>
      </x:c>
      <x:c r="F74" s="10" t="str">
        <x:v>Crítica</x:v>
      </x:c>
      <x:c r="G74" s="10" t="str">
        <x:v>Pendiente</x:v>
      </x:c>
      <x:c r="H74" s="10" t="str">
        <x:v>Realizar retrospectiva, cerrar pendientes y archivar activos con derechos</x:v>
      </x:c>
      <x:c r="I74" s="10" t="str">
        <x:v>Coordinación general de marketing</x:v>
      </x:c>
      <x:c r="J74" s="10" t="str">
        <x:v>Todos los dueños de frente</x:v>
      </x:c>
      <x:c r="K74" s="10" t="str">
        <x:v>Dirección general</x:v>
      </x:c>
      <x:c r="L74" s="10" t="str">
        <x:v>CIE-01 a CIE-04</x:v>
      </x:c>
      <x:c r="M74" s="10" t="str">
        <x:v>Informe final, aprendizajes, próximos pasos y archivo</x:v>
      </x:c>
      <x:c r="N74" s="26" t="n">
        <x:f>COUNTIF('03_Inventario_2025'!$M$2:$M$189,B74)</x:f>
        <x:v>0</x:v>
      </x:c>
      <x:c r="O74" s="26" t="n">
        <x:f>IF(OR(D74="",E74=""),"",E74-D74+1)</x:f>
        <x:v>6</x:v>
      </x:c>
      <x:c r="P74" s="10" t="str"/>
    </x:row>
  </x:sheetData>
  <x:conditionalFormatting sqref="F2:F74">
    <x:cfRule type="containsText" dxfId="4" priority="1" operator="containsText" text="Crítica"/>
  </x:conditionalFormatting>
  <x:conditionalFormatting sqref="G2:G74">
    <x:cfRule type="containsText" dxfId="5" priority="2" operator="containsText" text="Bloqueada"/>
    <x:cfRule type="containsText" dxfId="6" priority="3" operator="containsText" text="Completada"/>
    <x:cfRule type="containsText" dxfId="7" priority="4" operator="containsText" text="En curso"/>
  </x:conditionalFormatting>
  <x:dataValidations count="3">
    <x:dataValidation type="list" sqref="C2:C74">
      <x:formula1>'06_Catalogos'!$C$2:$C$8</x:formula1>
    </x:dataValidation>
    <x:dataValidation type="list" sqref="F2:F74">
      <x:formula1>'06_Catalogos'!$B$2:$B$5</x:formula1>
    </x:dataValidation>
    <x:dataValidation type="list" sqref="G2:G74">
      <x:formula1>'06_Catalogos'!$A$2:$A$7</x:formula1>
    </x:dataValidation>
  </x:dataValidations>
  <x:pageMargins left="0.7" right="0.7" top="0.75" bottom="0.75" header="0.3" footer="0.3"/>
  <x:tableParts count="1">
    <x:tablePart xmlns:r="http://schemas.openxmlformats.org/officeDocument/2006/relationships" r:id="R7f5728a0065c48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40" hidden="0" customWidth="1"/>
    <x:col min="3" max="3" width="48" hidden="0" customWidth="1"/>
    <x:col min="4" max="4" width="48" hidden="0" customWidth="1"/>
    <x:col min="5" max="5" width="48" hidden="0" customWidth="1"/>
    <x:col min="6" max="6" width="48" hidden="0" customWidth="1"/>
    <x:col min="7" max="7" width="20" hidden="0" customWidth="1"/>
    <x:col min="8" max="8" width="50" hidden="0" customWidth="1"/>
  </x:cols>
  <x:sheetData>
    <x:row r="1" ht="34" customHeight="1">
      <x:c r="A1" s="39" t="str">
        <x:v>Rol 2026</x:v>
      </x:c>
      <x:c r="B1" s="39" t="str">
        <x:v>Persona / estado</x:v>
      </x:c>
      <x:c r="C1" s="39" t="str">
        <x:v>R — ejecuta</x:v>
      </x:c>
      <x:c r="D1" s="39" t="str">
        <x:v>A — aprueba</x:v>
      </x:c>
      <x:c r="E1" s="39" t="str">
        <x:v>Apoya</x:v>
      </x:c>
      <x:c r="F1" s="39" t="str">
        <x:v>Suplente</x:v>
      </x:c>
      <x:c r="G1" s="39" t="str">
        <x:v>Estado</x:v>
      </x:c>
      <x:c r="H1" s="39" t="str">
        <x:v>Validación pendiente</x:v>
      </x:c>
    </x:row>
    <x:row r="2" ht="48" customHeight="1">
      <x:c r="A2" s="10" t="str">
        <x:v>Dirección general</x:v>
      </x:c>
      <x:c r="B2" s="10" t="str">
        <x:v>Luis Lara</x:v>
      </x:c>
      <x:c r="C2" s="10" t="str">
        <x:v>Decisiones finales del programa</x:v>
      </x:c>
      <x:c r="D2" s="10" t="str">
        <x:v>Fechas, oferta, riesgos y cambios mayores</x:v>
      </x:c>
      <x:c r="E2" s="10" t="str">
        <x:v>Dirección de marketing</x:v>
      </x:c>
      <x:c r="F2" s="10" t="str">
        <x:v>Por ratificar</x:v>
      </x:c>
      <x:c r="G2" s="10" t="str">
        <x:v>Vigente por confirmar</x:v>
      </x:c>
      <x:c r="H2" s="10" t="str">
        <x:v>Ratificar alcance y suplente</x:v>
      </x:c>
    </x:row>
    <x:row r="3" ht="48" customHeight="1">
      <x:c r="A3" s="10" t="str">
        <x:v>Dirección de marketing</x:v>
      </x:c>
      <x:c r="B3" s="10" t="str">
        <x:v>Andrés Naranjo</x:v>
      </x:c>
      <x:c r="C3" s="10" t="str">
        <x:v>Estrategia, pauta y aprobación editorial</x:v>
      </x:c>
      <x:c r="D3" s="10" t="str">
        <x:v>Marketing y comunicación</x:v>
      </x:c>
      <x:c r="E3" s="10" t="str">
        <x:v>Coordinación general</x:v>
      </x:c>
      <x:c r="F3" s="10" t="str">
        <x:v>Por ratificar</x:v>
      </x:c>
      <x:c r="G3" s="10" t="str">
        <x:v>Vigente por confirmar</x:v>
      </x:c>
      <x:c r="H3" s="10" t="str">
        <x:v>Ratificar SLA de aprobación</x:v>
      </x:c>
    </x:row>
    <x:row r="4" ht="48" customHeight="1">
      <x:c r="A4" s="10" t="str">
        <x:v>Coordinación general de marketing</x:v>
      </x:c>
      <x:c r="B4" s="10" t="str">
        <x:v>Edwin Masabanda</x:v>
      </x:c>
      <x:c r="C4" s="10" t="str">
        <x:v>Tablero, carga, dependencias y entregas</x:v>
      </x:c>
      <x:c r="D4" s="10" t="str">
        <x:v>Coordinación operativa</x:v>
      </x:c>
      <x:c r="E4" s="10" t="str">
        <x:v>Todas las coordinaciones</x:v>
      </x:c>
      <x:c r="F4" s="10" t="str">
        <x:v>Por ratificar</x:v>
      </x:c>
      <x:c r="G4" s="10" t="str">
        <x:v>Vigente por confirmar</x:v>
      </x:c>
      <x:c r="H4" s="10" t="str">
        <x:v>Confirmar capacidad y guardias</x:v>
      </x:c>
    </x:row>
    <x:row r="5" ht="48" customHeight="1">
      <x:c r="A5" s="10" t="str">
        <x:v>Asesoría</x:v>
      </x:c>
      <x:c r="B5" s="10" t="str">
        <x:v>Alex Naranjo</x:v>
      </x:c>
      <x:c r="C5" s="10" t="str">
        <x:v>Revisión estratégica cuando se solicite</x:v>
      </x:c>
      <x:c r="D5" s="10" t="str">
        <x:v>No sustituye aprobaciones operativas</x:v>
      </x:c>
      <x:c r="E5" s="10" t="str">
        <x:v>Dirección</x:v>
      </x:c>
      <x:c r="F5" s="10" t="str">
        <x:v>No aplica</x:v>
      </x:c>
      <x:c r="G5" s="10" t="str">
        <x:v>Referencia</x:v>
      </x:c>
      <x:c r="H5" s="10" t="str">
        <x:v>Definir intervención y tiempos</x:v>
      </x:c>
    </x:row>
    <x:row r="6" ht="48" customHeight="1">
      <x:c r="A6" s="10" t="str">
        <x:v>Coordinación diseño/audiovisual</x:v>
      </x:c>
      <x:c r="B6" s="10" t="str">
        <x:v>Andrés Naula</x:v>
      </x:c>
      <x:c r="C6" s="10" t="str">
        <x:v>Key visual, audiovisual y QA técnico</x:v>
      </x:c>
      <x:c r="D6" s="10" t="str">
        <x:v>Calidad creativa técnica</x:v>
      </x:c>
      <x:c r="E6" s="10" t="str">
        <x:v>Diseño gráfico + producción</x:v>
      </x:c>
      <x:c r="F6" s="10" t="str">
        <x:v>Por ratificar</x:v>
      </x:c>
      <x:c r="G6" s="10" t="str">
        <x:v>Vigente por confirmar</x:v>
      </x:c>
      <x:c r="H6" s="10" t="str">
        <x:v>Separar coordinación de ejecución masiva</x:v>
      </x:c>
    </x:row>
    <x:row r="7" ht="48" customHeight="1">
      <x:c r="A7" s="10" t="str">
        <x:v>Diseño gráfico</x:v>
      </x:c>
      <x:c r="B7" s="10" t="str">
        <x:v>Cristian Nuñez; Karen Velastegui; Diego Flores</x:v>
      </x:c>
      <x:c r="C7" s="10" t="str">
        <x:v>Piezas y adaptaciones</x:v>
      </x:c>
      <x:c r="D7" s="10" t="str">
        <x:v>No aprueba oferta ni datos</x:v>
      </x:c>
      <x:c r="E7" s="10" t="str">
        <x:v>Coordinación creativa</x:v>
      </x:c>
      <x:c r="F7" s="10" t="str">
        <x:v>Distribuir entre el equipo</x:v>
      </x:c>
      <x:c r="G7" s="10" t="str">
        <x:v>Vigente por confirmar</x:v>
      </x:c>
      <x:c r="H7" s="10" t="str">
        <x:v>Asignar especialidades y capacidad</x:v>
      </x:c>
    </x:row>
    <x:row r="8" ht="48" customHeight="1">
      <x:c r="A8" s="10" t="str">
        <x:v>Coordinación comunicación</x:v>
      </x:c>
      <x:c r="B8" s="10" t="str">
        <x:v>Andrés — apellido por confirmar</x:v>
      </x:c>
      <x:c r="C8" s="10" t="str">
        <x:v>Calendario, copies, community y publicación</x:v>
      </x:c>
      <x:c r="D8" s="10" t="str">
        <x:v>QA editorial diario</x:v>
      </x:c>
      <x:c r="E8" s="10" t="str">
        <x:v>PR + diseño + audiovisual</x:v>
      </x:c>
      <x:c r="F8" s="10" t="str">
        <x:v>Por ratificar</x:v>
      </x:c>
      <x:c r="G8" s="10" t="str">
        <x:v>Incompleto</x:v>
      </x:c>
      <x:c r="H8" s="10" t="str">
        <x:v>Confirmar identidad y suplente</x:v>
      </x:c>
    </x:row>
    <x:row r="9" ht="48" customHeight="1">
      <x:c r="A9" s="10" t="str">
        <x:v>Relaciones públicas</x:v>
      </x:c>
      <x:c r="B9" s="10" t="str">
        <x:v>Are Morales</x:v>
      </x:c>
      <x:c r="C9" s="10" t="str">
        <x:v>Medios, vocerías, creadores y monitoreo</x:v>
      </x:c>
      <x:c r="D9" s="10" t="str">
        <x:v>Agenda de PR</x:v>
      </x:c>
      <x:c r="E9" s="10" t="str">
        <x:v>Comunicación + producción</x:v>
      </x:c>
      <x:c r="F9" s="10" t="str">
        <x:v>Por ratificar</x:v>
      </x:c>
      <x:c r="G9" s="10" t="str">
        <x:v>Vigente por confirmar</x:v>
      </x:c>
      <x:c r="H9" s="10" t="str">
        <x:v>Confirmar disponibilidad</x:v>
      </x:c>
    </x:row>
    <x:row r="10" ht="48" customHeight="1">
      <x:c r="A10" s="10" t="str">
        <x:v>Coordinación producción</x:v>
      </x:c>
      <x:c r="B10" s="10" t="str">
        <x:v>Iván — apellido por confirmar</x:v>
      </x:c>
      <x:c r="C10" s="10" t="str">
        <x:v>Logística, activaciones, montaje y operación</x:v>
      </x:c>
      <x:c r="D10" s="10" t="str">
        <x:v>Ejecución de producción</x:v>
      </x:c>
      <x:c r="E10" s="10" t="str">
        <x:v>Leo Sailema + externos</x:v>
      </x:c>
      <x:c r="F10" s="10" t="str">
        <x:v>Por ratificar</x:v>
      </x:c>
      <x:c r="G10" s="10" t="str">
        <x:v>Incompleto</x:v>
      </x:c>
      <x:c r="H10" s="10" t="str">
        <x:v>Confirmar identidad, capacidad y turnos</x:v>
      </x:c>
    </x:row>
    <x:row r="11" ht="48" customHeight="1">
      <x:c r="A11" s="10" t="str">
        <x:v>Producción</x:v>
      </x:c>
      <x:c r="B11" s="10" t="str">
        <x:v>Leo Sailema</x:v>
      </x:c>
      <x:c r="C11" s="10" t="str">
        <x:v>Producción audiovisual y soporte en sitio</x:v>
      </x:c>
      <x:c r="D11" s="10" t="str">
        <x:v>Entregables asignados</x:v>
      </x:c>
      <x:c r="E11" s="10" t="str">
        <x:v>Coordinación producción</x:v>
      </x:c>
      <x:c r="F11" s="10" t="str">
        <x:v>Por ratificar</x:v>
      </x:c>
      <x:c r="G11" s="10" t="str">
        <x:v>Vigente por confirmar</x:v>
      </x:c>
      <x:c r="H11" s="10" t="str">
        <x:v>Definir guardias</x:v>
      </x:c>
    </x:row>
    <x:row r="12" ht="48" customHeight="1">
      <x:c r="A12" s="10" t="str">
        <x:v>Media buyer</x:v>
      </x:c>
      <x:c r="B12" s="10" t="str">
        <x:v>Vacante crítica</x:v>
      </x:c>
      <x:c r="C12" s="10" t="str">
        <x:v>Campañas, presupuesto y optimización</x:v>
      </x:c>
      <x:c r="D12" s="10" t="str">
        <x:v>Ejecución de pauta</x:v>
      </x:c>
      <x:c r="E12" s="10" t="str">
        <x:v>Analítica + comunicación</x:v>
      </x:c>
      <x:c r="F12" s="10" t="str">
        <x:v>Vacante</x:v>
      </x:c>
      <x:c r="G12" s="10" t="str">
        <x:v>Bloqueado</x:v>
      </x:c>
      <x:c r="H12" s="10" t="str">
        <x:v>Asignar antes del gate de expectativa</x:v>
      </x:c>
    </x:row>
    <x:row r="13" ht="48" customHeight="1">
      <x:c r="A13" s="10" t="str">
        <x:v>Analítica/tracking</x:v>
      </x:c>
      <x:c r="B13" s="10" t="str">
        <x:v>Vacante crítica</x:v>
      </x:c>
      <x:c r="C13" s="10" t="str">
        <x:v>UTMs, eventos, conciliación y reporte</x:v>
      </x:c>
      <x:c r="D13" s="10" t="str">
        <x:v>Calidad de datos</x:v>
      </x:c>
      <x:c r="E13" s="10" t="str">
        <x:v>Entradas + finanzas + media buyer</x:v>
      </x:c>
      <x:c r="F13" s="10" t="str">
        <x:v>Vacante</x:v>
      </x:c>
      <x:c r="G13" s="10" t="str">
        <x:v>Bloqueado</x:v>
      </x:c>
      <x:c r="H13" s="10" t="str">
        <x:v>Asignar antes de compra de prueba</x:v>
      </x:c>
    </x:row>
    <x:row r="14" ht="48" customHeight="1">
      <x:c r="A14" s="10" t="str">
        <x:v>Community manager</x:v>
      </x:c>
      <x:c r="B14" s="10" t="str">
        <x:v>Vacante crítica</x:v>
      </x:c>
      <x:c r="C14" s="10" t="str">
        <x:v>Publicación, atención y escalamiento</x:v>
      </x:c>
      <x:c r="D14" s="10" t="str">
        <x:v>SLA de comunidad</x:v>
      </x:c>
      <x:c r="E14" s="10" t="str">
        <x:v>Comunicación + servicio</x:v>
      </x:c>
      <x:c r="F14" s="10" t="str">
        <x:v>Vacante</x:v>
      </x:c>
      <x:c r="G14" s="10" t="str">
        <x:v>Bloqueado</x:v>
      </x:c>
      <x:c r="H14" s="10" t="str">
        <x:v>Asignar y crear turnos</x:v>
      </x:c>
    </x:row>
    <x:row r="15" ht="48" customHeight="1">
      <x:c r="A15" s="10" t="str">
        <x:v>Aprobación cultural/marca</x:v>
      </x:c>
      <x:c r="B15" s="10" t="str">
        <x:v>Por asignar</x:v>
      </x:c>
      <x:c r="C15" s="10" t="str">
        <x:v>Validar símbolos, relatos y tono</x:v>
      </x:c>
      <x:c r="D15" s="10" t="str">
        <x:v>Aprobación cultural</x:v>
      </x:c>
      <x:c r="E15" s="10" t="str">
        <x:v>Dirección + comunidad</x:v>
      </x:c>
      <x:c r="F15" s="10" t="str">
        <x:v>Por asignar</x:v>
      </x:c>
      <x:c r="G15" s="10" t="str">
        <x:v>Bloqueado</x:v>
      </x:c>
      <x:c r="H15" s="10" t="str">
        <x:v>Ratificar autoridad y criterios</x:v>
      </x:c>
    </x:row>
    <x:row r="16" ht="48" customHeight="1">
      <x:c r="A16" s="10" t="str">
        <x:v>Entradas/comercial</x:v>
      </x:c>
      <x:c r="B16" s="10" t="str">
        <x:v>Por asignar</x:v>
      </x:c>
      <x:c r="C16" s="10" t="str">
        <x:v>Oferta, inventario, compra y conciliación</x:v>
      </x:c>
      <x:c r="D16" s="10" t="str">
        <x:v>Datos comerciales</x:v>
      </x:c>
      <x:c r="E16" s="10" t="str">
        <x:v>Finanzas + operación + marketing</x:v>
      </x:c>
      <x:c r="F16" s="10" t="str">
        <x:v>Por asignar</x:v>
      </x:c>
      <x:c r="G16" s="10" t="str">
        <x:v>Bloqueado</x:v>
      </x:c>
      <x:c r="H16" s="10" t="str">
        <x:v>Asignar antes de preventa</x:v>
      </x:c>
    </x:row>
    <x:row r="17" ht="48" customHeight="1">
      <x:c r="A17" s="10" t="str">
        <x:v>Expositores</x:v>
      </x:c>
      <x:c r="B17" s="10" t="str">
        <x:v>Por asignar</x:v>
      </x:c>
      <x:c r="C17" s="10" t="str">
        <x:v>Oferta, ocupación, onboarding y feedback</x:v>
      </x:c>
      <x:c r="D17" s="10" t="str">
        <x:v>Relación con expositores</x:v>
      </x:c>
      <x:c r="E17" s="10" t="str">
        <x:v>Comercial + operación + marketing</x:v>
      </x:c>
      <x:c r="F17" s="10" t="str">
        <x:v>Por asignar</x:v>
      </x:c>
      <x:c r="G17" s="10" t="str">
        <x:v>Bloqueado</x:v>
      </x:c>
      <x:c r="H17" s="10" t="str">
        <x:v>Asignar y validar inventario</x:v>
      </x:c>
    </x:row>
    <x:row r="18" ht="48" customHeight="1">
      <x:c r="A18" s="10" t="str">
        <x:v>Patrocinadores</x:v>
      </x:c>
      <x:c r="B18" s="10" t="str">
        <x:v>Por asignar</x:v>
      </x:c>
      <x:c r="C18" s="10" t="str">
        <x:v>Contratos, beneficios, activos y evidencia</x:v>
      </x:c>
      <x:c r="D18" s="10" t="str">
        <x:v>Master de auspiciantes</x:v>
      </x:c>
      <x:c r="E18" s="10" t="str">
        <x:v>Diseño + producción + finanzas</x:v>
      </x:c>
      <x:c r="F18" s="10" t="str">
        <x:v>Por asignar</x:v>
      </x:c>
      <x:c r="G18" s="10" t="str">
        <x:v>Bloqueado</x:v>
      </x:c>
      <x:c r="H18" s="10" t="str">
        <x:v>Asignar y conciliar contratos</x:v>
      </x:c>
    </x:row>
    <x:row r="19" ht="48" customHeight="1">
      <x:c r="A19" s="10" t="str">
        <x:v>Operación/servicio/tecnología</x:v>
      </x:c>
      <x:c r="B19" s="10" t="str">
        <x:v>Por asignar</x:v>
      </x:c>
      <x:c r="C19" s="10" t="str">
        <x:v>Mapa, capacidades, PWA, FAQ e incidencias</x:v>
      </x:c>
      <x:c r="D19" s="10" t="str">
        <x:v>Fuente operativa</x:v>
      </x:c>
      <x:c r="E19" s="10" t="str">
        <x:v>Seguridad + producción + comunicación</x:v>
      </x:c>
      <x:c r="F19" s="10" t="str">
        <x:v>Por asignar</x:v>
      </x:c>
      <x:c r="G19" s="10" t="str">
        <x:v>Bloqueado</x:v>
      </x:c>
      <x:c r="H19" s="10" t="str">
        <x:v>Separar responsables y guardias</x:v>
      </x:c>
    </x:row>
  </x:sheetData>
  <x:conditionalFormatting sqref="G2:G19">
    <x:cfRule type="containsText" dxfId="8" priority="1" operator="containsText" text="Bloqueado"/>
  </x:conditionalFormatting>
  <x:pageMargins left="0.7" right="0.7" top="0.75" bottom="0.75" header="0.3" footer="0.3"/>
  <x:tableParts count="1">
    <x:tablePart xmlns:r="http://schemas.openxmlformats.org/officeDocument/2006/relationships" r:id="R2a63e52803bb4009"/>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3" hidden="0" customWidth="1"/>
    <x:col min="2" max="2" width="18" hidden="0" customWidth="1"/>
    <x:col min="3" max="3" width="26" hidden="0" customWidth="1"/>
    <x:col min="4" max="4" width="43" hidden="0" customWidth="1"/>
    <x:col min="5" max="5" width="14" hidden="0" customWidth="1"/>
    <x:col min="7" max="7" width="24" hidden="0" customWidth="1"/>
    <x:col min="8" max="8" width="80" hidden="0" customWidth="1"/>
  </x:cols>
  <x:sheetData>
    <x:row r="1" ht="34" customHeight="1">
      <x:c r="A1" s="6" t="str">
        <x:v>Estados</x:v>
      </x:c>
      <x:c r="B1" s="6" t="str">
        <x:v>Prioridades</x:v>
      </x:c>
      <x:c r="C1" s="6" t="str">
        <x:v>Fases</x:v>
      </x:c>
      <x:c r="D1" s="6" t="str">
        <x:v>Tratamientos 2026</x:v>
      </x:c>
      <x:c r="E1" s="6" t="str">
        <x:v>Riesgo</x:v>
      </x:c>
      <x:c r="G1" s="16" t="str">
        <x:v>Metadato de fuente</x:v>
      </x:c>
      <x:c r="H1" s="16" t="str">
        <x:v>Valor</x:v>
      </x:c>
    </x:row>
    <x:row r="2">
      <x:c r="A2" s="10" t="str">
        <x:v>Pendiente</x:v>
      </x:c>
      <x:c r="B2" s="10" t="str">
        <x:v>Crítica</x:v>
      </x:c>
      <x:c r="C2" s="10" t="str">
        <x:v>Preparación interna</x:v>
      </x:c>
      <x:c r="D2" s="10" t="str">
        <x:v>Consolidar en paquete 2026</x:v>
      </x:c>
      <x:c r="E2" s="10" t="str">
        <x:v>Alto</x:v>
      </x:c>
      <x:c r="G2" s="10" t="str">
        <x:v>Fuente recibida</x:v>
      </x:c>
      <x:c r="H2" s="10" t="str">
        <x:v>tasks_2026-08-26_06-37-51.xls</x:v>
      </x:c>
    </x:row>
    <x:row r="3">
      <x:c r="A3" s="10" t="str">
        <x:v>En curso</x:v>
      </x:c>
      <x:c r="B3" s="10" t="str">
        <x:v>Alta</x:v>
      </x:c>
      <x:c r="C3" s="10" t="str">
        <x:v>Expectativa</x:v>
      </x:c>
      <x:c r="D3" s="10" t="str">
        <x:v>Convertir con control</x:v>
      </x:c>
      <x:c r="E3" s="10" t="str">
        <x:v>Medio</x:v>
      </x:c>
      <x:c r="G3" s="10" t="str">
        <x:v>Naturaleza</x:v>
      </x:c>
      <x:c r="H3" s="10" t="str">
        <x:v>Exportación HTML de Bitrix con extensión .xls</x:v>
      </x:c>
    </x:row>
    <x:row r="4">
      <x:c r="A4" s="10" t="str">
        <x:v>En revisión</x:v>
      </x:c>
      <x:c r="B4" s="10" t="str">
        <x:v>Media</x:v>
      </x:c>
      <x:c r="C4" s="10" t="str">
        <x:v>Revelación y preventa</x:v>
      </x:c>
      <x:c r="D4" s="10" t="str">
        <x:v>Rediseñar</x:v>
      </x:c>
      <x:c r="E4" s="10" t="str">
        <x:v>Bajo</x:v>
      </x:c>
      <x:c r="G4" s="10" t="str">
        <x:v>SHA-256</x:v>
      </x:c>
      <x:c r="H4" s="10" t="str">
        <x:v>02288f0ebcbfe67d661755cb83bb09756c6dfef5f05537200537215b6ffaf2e7</x:v>
      </x:c>
    </x:row>
    <x:row r="5">
      <x:c r="A5" s="10" t="str">
        <x:v>Bloqueada por gate</x:v>
      </x:c>
      <x:c r="B5" s="10" t="str">
        <x:v>Baja</x:v>
      </x:c>
      <x:c r="C5" s="10" t="str">
        <x:v>Conversión</x:v>
      </x:c>
      <x:c r="D5" s="10" t="str">
        <x:v>No repetir mecánica; rescatar el principio</x:v>
      </x:c>
      <x:c r="G5" s="10" t="str">
        <x:v>Filas</x:v>
      </x:c>
      <x:c r="H5" s="10" t="n">
        <x:v>188</x:v>
      </x:c>
    </x:row>
    <x:row r="6">
      <x:c r="A6" s="10" t="str">
        <x:v>Completada</x:v>
      </x:c>
      <x:c r="C6" s="10" t="str">
        <x:v>Preparación final</x:v>
      </x:c>
      <x:c r="G6" s="10" t="str">
        <x:v>Periodo de creación</x:v>
      </x:c>
      <x:c r="H6" s="10" t="str">
        <x:v>2025-10-11 a 2025-10-30</x:v>
      </x:c>
    </x:row>
    <x:row r="7">
      <x:c r="A7" s="10" t="str">
        <x:v>Cancelada</x:v>
      </x:c>
      <x:c r="C7" s="10" t="str">
        <x:v>En vivo</x:v>
      </x:c>
      <x:c r="G7" s="10" t="str">
        <x:v>Filas con datos omitidos</x:v>
      </x:c>
      <x:c r="H7" s="10" t="n">
        <x:v>7</x:v>
      </x:c>
    </x:row>
    <x:row r="8">
      <x:c r="C8" s="10" t="str">
        <x:v>Cierre</x:v>
      </x:c>
      <x:c r="G8" s="10" t="str">
        <x:v>Política de privacidad</x:v>
      </x:c>
      <x:c r="H8" s="10" t="str">
        <x:v>Se omitieron URL, correos y teléfonos; el exporte crudo no se versiona en el repositorio público.</x:v>
      </x:c>
    </x:row>
    <x:row r="9">
      <x:c r="G9" s="10" t="str">
        <x:v>Credenciales</x:v>
      </x:c>
      <x:c r="H9" s="10" t="str">
        <x:v>No se incluyeron ni almacenaron tokens o credenciales.</x:v>
      </x:c>
    </x:row>
  </x:sheetData>
  <x:pageMargins left="0.7" right="0.7" top="0.75" bottom="0.75" header="0.3" footer="0.3"/>
</x:worksheet>
</file>